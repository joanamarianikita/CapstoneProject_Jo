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infor\"/>
    </mc:Choice>
  </mc:AlternateContent>
  <xr:revisionPtr revIDLastSave="0" documentId="13_ncr:1_{70224AE2-5B6C-41EF-99F1-5356790B8505}" xr6:coauthVersionLast="47" xr6:coauthVersionMax="47" xr10:uidLastSave="{00000000-0000-0000-0000-000000000000}"/>
  <bookViews>
    <workbookView xWindow="-120" yWindow="-120" windowWidth="20730" windowHeight="11760" activeTab="1" xr2:uid="{D1346874-48FF-4DF4-8B24-D4A6BA3E1BD7}"/>
  </bookViews>
  <sheets>
    <sheet name="sample_case3_filtered_annotated" sheetId="1" r:id="rId1"/>
    <sheet name="Alignment_Sum" sheetId="2" r:id="rId2"/>
  </sheets>
  <calcPr calcId="181029"/>
</workbook>
</file>

<file path=xl/calcChain.xml><?xml version="1.0" encoding="utf-8"?>
<calcChain xmlns="http://schemas.openxmlformats.org/spreadsheetml/2006/main">
  <c r="E55" i="1" l="1"/>
  <c r="D55" i="1"/>
  <c r="C55" i="1"/>
  <c r="B55" i="1"/>
  <c r="A55" i="1"/>
</calcChain>
</file>

<file path=xl/sharedStrings.xml><?xml version="1.0" encoding="utf-8"?>
<sst xmlns="http://schemas.openxmlformats.org/spreadsheetml/2006/main" count="660" uniqueCount="183">
  <si>
    <t>chr13</t>
  </si>
  <si>
    <t>G</t>
  </si>
  <si>
    <t>A</t>
  </si>
  <si>
    <t>NC_000013.11:g.32331128G&gt;A</t>
  </si>
  <si>
    <t>BRCA2:675</t>
  </si>
  <si>
    <t>SO:0001627|intron_variant</t>
  </si>
  <si>
    <t>Benign</t>
  </si>
  <si>
    <t>not_provided|Breast-ovarian_cancer,_familial,_susceptibility_to,_2</t>
  </si>
  <si>
    <t>.</t>
  </si>
  <si>
    <t>T</t>
  </si>
  <si>
    <t>C</t>
  </si>
  <si>
    <t>NC_000013.11:g.32336191T&gt;C</t>
  </si>
  <si>
    <t>not_specified|not_provided|Hereditary_cancer-predisposing_syndrome|Breast-ovarian_cancer,_familial,_susceptibility_to,_2</t>
  </si>
  <si>
    <t>NC_000013.11:g.32337751A&gt;G</t>
  </si>
  <si>
    <t>SO:0001819|synonymous_variant</t>
  </si>
  <si>
    <t>Hereditary_cancer-predisposing_syndrome|not_specified|not_provided|Hereditary_breast_ovarian_cancer_syndrome|Breast-ovarian_cancer,_familial,_susceptibility_to,_2|Fanconi_anemia_complementation_group_D1|Familial_cancer_of_breast</t>
  </si>
  <si>
    <t>NC_000013.11:g.32338918A&gt;G</t>
  </si>
  <si>
    <t>BRCA2-related_disorder|Hereditary_cancer-predisposing_syndrome|not_provided|not_specified|Hereditary_breast_ovarian_cancer_syndrome|Fanconi_anemia_complementation_group_D1|Breast-ovarian_cancer,_familial,_susceptibility_to,_2|Familial_cancer_of_breast|Malignant_tumor_of_breast</t>
  </si>
  <si>
    <t>NC_000013.11:g.32340868G&gt;C</t>
  </si>
  <si>
    <t>Hereditary_cancer-predisposing_syndrome|not_specified|not_provided|Hereditary_breast_ovarian_cancer_syndrome|Fanconi_anemia_complementation_group_D1|Breast-ovarian_cancer,_familial,_susceptibility_to,_2|Familial_cancer_of_breast|Malignant_tumor_of_breast</t>
  </si>
  <si>
    <t>CAATT</t>
  </si>
  <si>
    <t>NC_000013.11:g.32341276_32341279del</t>
  </si>
  <si>
    <t>not_specified|Hereditary_cancer-predisposing_syndrome|not_provided|Breast-ovarian_cancer,_familial,_susceptibility_to,_2|Familial_cancer_of_breast</t>
  </si>
  <si>
    <t>NC_000013.11:g.32346707T&gt;C</t>
  </si>
  <si>
    <t>not_provided|not_specified|Breast-ovarian_cancer,_familial,_susceptibility_to,_2|Familial_cancer_of_breast</t>
  </si>
  <si>
    <t>NC_000013.11:g.32355095A&gt;G</t>
  </si>
  <si>
    <t>NC_000013.11:g.32355250T&gt;C</t>
  </si>
  <si>
    <t>SO:0001583|missense_variant</t>
  </si>
  <si>
    <t>BRCA2-related_cancer_predisposition|Breast_ductal_adenocarcinoma|not_specified|not_provided|Hereditary_breast_ovarian_cancer_syndrome|Breast-ovarian_cancer,_familial,_susceptibility_to,_2</t>
  </si>
  <si>
    <t>NC_000013.11:g.32356799G&gt;A</t>
  </si>
  <si>
    <t>Breast-ovarian_cancer,_familial,_susceptibility_to,_2|not_provided</t>
  </si>
  <si>
    <t>NC_000013.11:g.32362509T&gt;C</t>
  </si>
  <si>
    <t>Breast_and/or_ovarian_cancer|Hereditary_cancer-predisposing_syndrome|not_specified|not_provided|Hereditary_breast_ovarian_cancer_syndrome|Fanconi_anemia_complementation_group_D1|Breast-ovarian_cancer,_familial,_susceptibility_to,_2|Familial_cancer_of_breast</t>
  </si>
  <si>
    <t>NC_000013.11:g.32362596A&gt;T</t>
  </si>
  <si>
    <t>Pathogenic</t>
  </si>
  <si>
    <t>Inherited_breast_cancer_and_ovarian_cancer|BRCA2-related_cancer_predisposition|Hereditary_cancer-predisposing_syndrome|Wilms_tumor_1|Familial_cancer_of_breast|Medulloblastoma|Breast-ovarian_cancer,_familial,_susceptibility_to,_2|Fanconi_anemia_complementation_group_D1|Pancreatic_cancer,_susceptibility_to,_2|Glioma_susceptibility_3|Familial_prostate_cancer|Prostate_cancer|not_specified|not_provided|Hereditary_breast_ovarian_cancer_syndrome</t>
  </si>
  <si>
    <t>CA</t>
  </si>
  <si>
    <t>NC_000013.11:g.32376535del</t>
  </si>
  <si>
    <t>Likely_benign</t>
  </si>
  <si>
    <t>not_provided</t>
  </si>
  <si>
    <t>NC_000013.11:g.32378348A&gt;G</t>
  </si>
  <si>
    <t>Breast-ovarian_cancer,_familial,_susceptibility_to,_2</t>
  </si>
  <si>
    <t>NC_000013.11:g.32380424G&gt;A</t>
  </si>
  <si>
    <t>NC_000013.11:g.32385062C&gt;T</t>
  </si>
  <si>
    <t>NC_000013.11:g.32387908A&gt;C</t>
  </si>
  <si>
    <t>NC_000013.11:g.32387951C&gt;T</t>
  </si>
  <si>
    <t>NC_000013.11:g.32399139A&gt;G</t>
  </si>
  <si>
    <t>SO:0001624|3_prime_UTR_variant</t>
  </si>
  <si>
    <t>Fanconi_anemia_complementation_group_D1|not_provided|Hereditary_cancer-predisposing_syndrome|not_specified|Breast-ovarian_cancer,_familial,_susceptibility_to,_2</t>
  </si>
  <si>
    <t>NC_000013.11:g.32399302A&gt;G</t>
  </si>
  <si>
    <t>Fanconi_anemia_complementation_group_D1|not_provided|Breast-ovarian_cancer,_familial,_susceptibility_to,_2</t>
  </si>
  <si>
    <t>AT</t>
  </si>
  <si>
    <t>NC_000013.11:g.32399609del</t>
  </si>
  <si>
    <t>chr17</t>
  </si>
  <si>
    <t>NC_000017.11:g.43044391G&gt;A</t>
  </si>
  <si>
    <t>BRCA1:672</t>
  </si>
  <si>
    <t>SO:0001619|non-coding_transcript_variant,SO:0001624|3_prime_UTR_variant</t>
  </si>
  <si>
    <t>not_specified|not_provided|Breast-ovarian_cancer,_familial,_susceptibility_to,_1</t>
  </si>
  <si>
    <t>NC_000017.11:g.43045257C&gt;A</t>
  </si>
  <si>
    <t>not_specified|Breast-ovarian_cancer,_familial,_susceptibility_to,_1|not_provided|Hereditary_breast_ovarian_cancer_syndrome</t>
  </si>
  <si>
    <t>NC_000017.11:g.43063808C&gt;T</t>
  </si>
  <si>
    <t>Hereditary_cancer-predisposing_syndrome|not_specified|not_provided|Hereditary_breast_ovarian_cancer_syndrome|Breast-ovarian_cancer,_familial,_susceptibility_to,_1|Familial_cancer_of_breast</t>
  </si>
  <si>
    <t>NC_000017.11:g.43067543C&gt;T</t>
  </si>
  <si>
    <t>not_provided|not_specified|Breast-ovarian_cancer,_familial,_susceptibility_to,_1|Familial_cancer_of_breast</t>
  </si>
  <si>
    <t>NC_000017.11:g.43067763T&gt;C</t>
  </si>
  <si>
    <t>Hereditary_cancer-predisposing_syndrome|not_specified|not_provided|Hereditary_breast_ovarian_cancer_syndrome|Breast-ovarian_cancer,_familial,_susceptibility_to,_1</t>
  </si>
  <si>
    <t>NC_000017.11:g.43071077T&gt;C</t>
  </si>
  <si>
    <t>SO:0001583|missense_variant,SO:0001619|non-coding_transcript_variant</t>
  </si>
  <si>
    <t>BRCA1-related_cancer_predisposition|Pancreatic_cancer,_susceptibility_to,_4|Fanconi_anemia,_complementation_group_S|Familial_cancer_of_breast|Breast-ovarian_cancer,_familial,_susceptibility_to,_1|Hereditary_cancer-predisposing_syndrome|not_specified|not_provided|Hereditary_breast_ovarian_cancer_syndrome|Breast_carcinoma|Malignant_tumor_of_breast</t>
  </si>
  <si>
    <t>NC_000017.11:g.43074584G&gt;C</t>
  </si>
  <si>
    <t>NC_000017.11:g.43079204A&gt;C</t>
  </si>
  <si>
    <t>not_provided|Breast-ovarian_cancer,_familial,_susceptibility_to,_1</t>
  </si>
  <si>
    <t>NC_000017.11:g.43079499C&gt;T</t>
  </si>
  <si>
    <t>not_provided|Hereditary_breast_ovarian_cancer_syndrome|Breast-ovarian_cancer,_familial,_susceptibility_to,_1</t>
  </si>
  <si>
    <t>NC_000017.11:g.43082453A&gt;G</t>
  </si>
  <si>
    <t>Familial_cancer_of_breast|Breast-ovarian_cancer,_familial,_susceptibility_to,_1|Pancreatic_cancer,_susceptibility_to,_4|Fanconi_anemia,_complementation_group_S|Hereditary_cancer-predisposing_syndrome|not_specified|not_provided|Hereditary_breast_ovarian_cancer_syndrome</t>
  </si>
  <si>
    <t>NC_000017.11:g.43091173T&gt;G</t>
  </si>
  <si>
    <t>BRCA1:672|LOC126862571:126862571</t>
  </si>
  <si>
    <t>Breast-ovarian_cancer,_familial,_susceptibility_to,_1|not_specified|Familial_cancer_of_breast|not_provided</t>
  </si>
  <si>
    <t>NC_000017.11:g.43091983T&gt;C</t>
  </si>
  <si>
    <t>SO:0001583|missense_variant,SO:0001627|intron_variant</t>
  </si>
  <si>
    <t>BRCA1-related_cancer_predisposition|Pancreatic_cancer,_susceptibility_to,_4|Fanconi_anemia,_complementation_group_S|Familial_cancer_of_breast|Breast-ovarian_cancer,_familial,_susceptibility_to,_1|Hereditary_cancer-predisposing_syndrome|not_specified|not_provided|Hereditary_breast_ovarian_cancer_syndrome|Breast_carcinoma</t>
  </si>
  <si>
    <t>NC_000017.11:g.43092418T&gt;C</t>
  </si>
  <si>
    <t>NC_000017.11:g.43092919G&gt;A</t>
  </si>
  <si>
    <t>NC_000017.11:g.43093220A&gt;G</t>
  </si>
  <si>
    <t>SO:0001627|intron_variant,SO:0001819|synonymous_variant</t>
  </si>
  <si>
    <t>NC_000017.11:g.43093449G&gt;A</t>
  </si>
  <si>
    <t>TA</t>
  </si>
  <si>
    <t>NC_000017.11:g.43097353del</t>
  </si>
  <si>
    <t>NC_000017.11:g.43104069del</t>
  </si>
  <si>
    <t>AAAAAAAAAGAAAAG</t>
  </si>
  <si>
    <t>NC_000017.11:g.43104075_43104088del</t>
  </si>
  <si>
    <t>Benign/Likely_benign</t>
  </si>
  <si>
    <t>not_provided|not_specified|Familial_cancer_of_breast|Breast-ovarian_cancer,_familial,_susceptibility_to,_1|Pancreatic_cancer,_susceptibility_to,_4|Fanconi_anemia,_complementation_group_S</t>
  </si>
  <si>
    <t>GC</t>
  </si>
  <si>
    <t>CCT</t>
  </si>
  <si>
    <t>POSITION</t>
  </si>
  <si>
    <t>REFERENCE</t>
  </si>
  <si>
    <t>ALTERNATION</t>
  </si>
  <si>
    <t>ALLEL ID</t>
  </si>
  <si>
    <t>rsID dSNP NCBI</t>
  </si>
  <si>
    <t>c</t>
  </si>
  <si>
    <t>Clinical HGVS</t>
  </si>
  <si>
    <t>Gene Info</t>
  </si>
  <si>
    <t>Molecular Consequence</t>
  </si>
  <si>
    <t>Clinical Significance</t>
  </si>
  <si>
    <t>Clinical Disease Name</t>
  </si>
  <si>
    <t>Oncogenicity Classification</t>
  </si>
  <si>
    <t>Somatical Clinical Impact</t>
  </si>
  <si>
    <t>Somatical Clinical Impact Disease Name</t>
  </si>
  <si>
    <t>CHOMOSOME</t>
  </si>
  <si>
    <t>Benign/Likely-benign</t>
  </si>
  <si>
    <t>Not Identified</t>
  </si>
  <si>
    <t>## METRICS CLASS</t>
  </si>
  <si>
    <t>picard.analysis.AlignmentSummaryMetrics</t>
  </si>
  <si>
    <t>CATEGORY</t>
  </si>
  <si>
    <t>TOTAL_READS</t>
  </si>
  <si>
    <t>PF_READS</t>
  </si>
  <si>
    <t>PCT_PF_READS</t>
  </si>
  <si>
    <t>PF_NOISE_READS</t>
  </si>
  <si>
    <t>PF_READS_ALIGNED</t>
  </si>
  <si>
    <t>PCT_PF_READS_ALIGNED</t>
  </si>
  <si>
    <t>PF_ALIGNED_BASES</t>
  </si>
  <si>
    <t>PF_HQ_ALIGNED_READS</t>
  </si>
  <si>
    <t>PF_HQ_ALIGNED_BASES</t>
  </si>
  <si>
    <t>PF_HQ_ALIGNED_Q20_BASES</t>
  </si>
  <si>
    <t>PF_HQ_MEDIAN_MISMATCHES</t>
  </si>
  <si>
    <t>PF_MISMATCH_RATE</t>
  </si>
  <si>
    <t>PF_HQ_ERROR_RATE</t>
  </si>
  <si>
    <t>PF_INDEL_RATE</t>
  </si>
  <si>
    <t>MEAN_READ_LENGTH</t>
  </si>
  <si>
    <t>SD_READ_LENGTH</t>
  </si>
  <si>
    <t>MEDIAN_READ_LENGTH</t>
  </si>
  <si>
    <t>MAD_READ_LENGTH</t>
  </si>
  <si>
    <t>MIN_READ_LENGTH</t>
  </si>
  <si>
    <t>MAX_READ_LENGTH</t>
  </si>
  <si>
    <t>MEAN_ALIGNED_READ_LENGTH</t>
  </si>
  <si>
    <t>READS_ALIGNED_IN_PAIRS</t>
  </si>
  <si>
    <t>PCT_READS_ALIGNED_IN_PAIRS</t>
  </si>
  <si>
    <t>PF_READS_IMPROPER_PAIRS</t>
  </si>
  <si>
    <t>PCT_PF_READS_IMPROPER_PAIRS</t>
  </si>
  <si>
    <t>BAD_CYCLES</t>
  </si>
  <si>
    <t>STRAND_BALANCE</t>
  </si>
  <si>
    <t>PCT_CHIMERAS</t>
  </si>
  <si>
    <t>PCT_ADAPTER</t>
  </si>
  <si>
    <t>PCT_SOFTCLIP</t>
  </si>
  <si>
    <t>PCT_HARDCLIP</t>
  </si>
  <si>
    <t>AVG_POS_3PRIME_SOFTCLIP_LENGTH</t>
  </si>
  <si>
    <t>SAMPLE</t>
  </si>
  <si>
    <t>LIBRARY</t>
  </si>
  <si>
    <t>READ_GROUP</t>
  </si>
  <si>
    <t>FIRST_OF_PAIR</t>
  </si>
  <si>
    <t>0.99865</t>
  </si>
  <si>
    <t>0.001186</t>
  </si>
  <si>
    <t>0.001183</t>
  </si>
  <si>
    <t>0.000094</t>
  </si>
  <si>
    <t>0.998423</t>
  </si>
  <si>
    <t>0.004055</t>
  </si>
  <si>
    <t>0.499887</t>
  </si>
  <si>
    <t>0.010391</t>
  </si>
  <si>
    <t>SECOND_OF_PAIR</t>
  </si>
  <si>
    <t>0.99775</t>
  </si>
  <si>
    <t>0.001414</t>
  </si>
  <si>
    <t>0.001406</t>
  </si>
  <si>
    <t>0.00013</t>
  </si>
  <si>
    <t>0.999324</t>
  </si>
  <si>
    <t>0.003157</t>
  </si>
  <si>
    <t>0.500113</t>
  </si>
  <si>
    <t>0.010494</t>
  </si>
  <si>
    <t>PAIR</t>
  </si>
  <si>
    <t>0.9982</t>
  </si>
  <si>
    <t>0.001299</t>
  </si>
  <si>
    <t>0.001293</t>
  </si>
  <si>
    <t>0.000112</t>
  </si>
  <si>
    <t>0.998873</t>
  </si>
  <si>
    <t>0.003606</t>
  </si>
  <si>
    <t>0.5</t>
  </si>
  <si>
    <t>0.010442</t>
  </si>
  <si>
    <t>## HISTOGRAM</t>
  </si>
  <si>
    <t>java.lang.Integer</t>
  </si>
  <si>
    <t>READ_LENGTH</t>
  </si>
  <si>
    <t>PAIRED_TOTAL_LENGTH_COUNT</t>
  </si>
  <si>
    <t>PAIRED_ALIGNED_LENGTH_COUNT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</si>
</sst>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/>
    <xf numFmtId="0" fontId="16" fillId="34" borderId="10" xfId="0" applyFont="1" applyFill="1" applyBorder="1"/>
    <xf numFmtId="0" fontId="16" fillId="35" borderId="10" xfId="0" applyFont="1" applyFill="1" applyBorder="1"/>
    <xf numFmtId="0" fontId="16" fillId="36" borderId="10" xfId="0" applyFont="1" applyFill="1" applyBorder="1"/>
    <xf numFmtId="3" fontId="0" fillId="0" borderId="0" xfId="0" applyNumberFormat="1"/>
    <xf numFmtId="0" fontId="0" fillId="0" borderId="0" xfId="0" applyAlignment="1">
      <alignment shrinkToFit="1"/>
    </xf>
    <xf numFmtId="0" fontId="0" fillId="0" borderId="10" xfId="0" applyBorder="1" applyAlignment="1">
      <alignment shrinkToFit="1"/>
    </xf>
    <xf numFmtId="3" fontId="0" fillId="0" borderId="10" xfId="0" applyNumberFormat="1" applyBorder="1"/>
    <xf numFmtId="0" fontId="16" fillId="0" borderId="10" xfId="0" applyFont="1" applyBorder="1" applyAlignment="1">
      <alignment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70E2-2C69-4035-AE5E-5DB481C8EAAC}">
  <dimension ref="A1:N55"/>
  <sheetViews>
    <sheetView topLeftCell="A4" zoomScale="55" zoomScaleNormal="55" workbookViewId="0">
      <selection activeCell="F51" sqref="F51"/>
    </sheetView>
  </sheetViews>
  <sheetFormatPr defaultRowHeight="15" x14ac:dyDescent="0.25"/>
  <cols>
    <col min="1" max="1" width="19.140625" bestFit="1" customWidth="1"/>
    <col min="3" max="3" width="20.5703125" bestFit="1" customWidth="1"/>
    <col min="4" max="4" width="13.5703125" bestFit="1" customWidth="1"/>
    <col min="5" max="5" width="13.7109375" bestFit="1" customWidth="1"/>
    <col min="6" max="6" width="21.7109375" bestFit="1" customWidth="1"/>
    <col min="7" max="7" width="36.5703125" bestFit="1" customWidth="1"/>
    <col min="8" max="8" width="34.7109375" bestFit="1" customWidth="1"/>
    <col min="9" max="9" width="71.140625" bestFit="1" customWidth="1"/>
    <col min="10" max="10" width="20.5703125" bestFit="1" customWidth="1"/>
    <col min="11" max="11" width="255.7109375" bestFit="1" customWidth="1"/>
    <col min="12" max="12" width="35.7109375" bestFit="1" customWidth="1"/>
    <col min="13" max="13" width="32.5703125" bestFit="1" customWidth="1"/>
    <col min="14" max="14" width="50.5703125" bestFit="1" customWidth="1"/>
  </cols>
  <sheetData>
    <row r="1" spans="1:14" x14ac:dyDescent="0.25">
      <c r="A1" s="6" t="s">
        <v>110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102</v>
      </c>
      <c r="H1" s="6" t="s">
        <v>103</v>
      </c>
      <c r="I1" s="6" t="s">
        <v>104</v>
      </c>
      <c r="J1" s="6" t="s">
        <v>105</v>
      </c>
      <c r="K1" s="6" t="s">
        <v>106</v>
      </c>
      <c r="L1" s="6" t="s">
        <v>107</v>
      </c>
      <c r="M1" s="6" t="s">
        <v>108</v>
      </c>
      <c r="N1" s="6" t="s">
        <v>109</v>
      </c>
    </row>
    <row r="2" spans="1:14" x14ac:dyDescent="0.25">
      <c r="A2" s="1" t="s">
        <v>0</v>
      </c>
      <c r="B2" s="1">
        <v>32331128</v>
      </c>
      <c r="C2" s="1" t="s">
        <v>1</v>
      </c>
      <c r="D2" s="1" t="s">
        <v>2</v>
      </c>
      <c r="E2" s="1">
        <v>205884</v>
      </c>
      <c r="F2" s="1">
        <v>206073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8</v>
      </c>
      <c r="N2" s="1" t="s">
        <v>8</v>
      </c>
    </row>
    <row r="3" spans="1:14" x14ac:dyDescent="0.25">
      <c r="A3" s="1" t="s">
        <v>0</v>
      </c>
      <c r="B3" s="1">
        <v>32336191</v>
      </c>
      <c r="C3" s="1" t="s">
        <v>9</v>
      </c>
      <c r="D3" s="1" t="s">
        <v>10</v>
      </c>
      <c r="E3" s="1">
        <v>205905</v>
      </c>
      <c r="F3" s="1">
        <v>2320236</v>
      </c>
      <c r="G3" s="1" t="s">
        <v>11</v>
      </c>
      <c r="H3" s="1" t="s">
        <v>4</v>
      </c>
      <c r="I3" s="1" t="s">
        <v>5</v>
      </c>
      <c r="J3" s="1" t="s">
        <v>6</v>
      </c>
      <c r="K3" s="1" t="s">
        <v>12</v>
      </c>
      <c r="L3" s="1" t="s">
        <v>8</v>
      </c>
      <c r="M3" s="1" t="s">
        <v>8</v>
      </c>
      <c r="N3" s="1" t="s">
        <v>8</v>
      </c>
    </row>
    <row r="4" spans="1:14" x14ac:dyDescent="0.25">
      <c r="A4" s="1" t="s">
        <v>0</v>
      </c>
      <c r="B4" s="1">
        <v>32337751</v>
      </c>
      <c r="C4" s="1" t="s">
        <v>2</v>
      </c>
      <c r="D4" s="1" t="s">
        <v>1</v>
      </c>
      <c r="E4" s="1">
        <v>131548</v>
      </c>
      <c r="F4" s="1">
        <v>1801406</v>
      </c>
      <c r="G4" s="1" t="s">
        <v>13</v>
      </c>
      <c r="H4" s="1" t="s">
        <v>4</v>
      </c>
      <c r="I4" s="1" t="s">
        <v>14</v>
      </c>
      <c r="J4" s="1" t="s">
        <v>6</v>
      </c>
      <c r="K4" s="1" t="s">
        <v>15</v>
      </c>
      <c r="L4" s="1" t="s">
        <v>8</v>
      </c>
      <c r="M4" s="1" t="s">
        <v>8</v>
      </c>
      <c r="N4" s="1" t="s">
        <v>8</v>
      </c>
    </row>
    <row r="5" spans="1:14" x14ac:dyDescent="0.25">
      <c r="A5" s="1" t="s">
        <v>0</v>
      </c>
      <c r="B5" s="1">
        <v>32337808</v>
      </c>
      <c r="C5" s="1" t="s">
        <v>10</v>
      </c>
      <c r="D5" s="1" t="s">
        <v>2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 t="s">
        <v>8</v>
      </c>
    </row>
    <row r="6" spans="1:14" x14ac:dyDescent="0.25">
      <c r="A6" s="1" t="s">
        <v>0</v>
      </c>
      <c r="B6" s="1">
        <v>32338918</v>
      </c>
      <c r="C6" s="1" t="s">
        <v>2</v>
      </c>
      <c r="D6" s="1" t="s">
        <v>1</v>
      </c>
      <c r="E6" s="1">
        <v>136527</v>
      </c>
      <c r="F6" s="1">
        <v>206075</v>
      </c>
      <c r="G6" s="1" t="s">
        <v>16</v>
      </c>
      <c r="H6" s="1" t="s">
        <v>4</v>
      </c>
      <c r="I6" s="1" t="s">
        <v>14</v>
      </c>
      <c r="J6" s="1" t="s">
        <v>6</v>
      </c>
      <c r="K6" s="1" t="s">
        <v>17</v>
      </c>
      <c r="L6" s="1" t="s">
        <v>8</v>
      </c>
      <c r="M6" s="1" t="s">
        <v>8</v>
      </c>
      <c r="N6" s="1" t="s">
        <v>8</v>
      </c>
    </row>
    <row r="7" spans="1:14" x14ac:dyDescent="0.25">
      <c r="A7" s="1" t="s">
        <v>0</v>
      </c>
      <c r="B7" s="1">
        <v>32340868</v>
      </c>
      <c r="C7" s="1" t="s">
        <v>1</v>
      </c>
      <c r="D7" s="1" t="s">
        <v>10</v>
      </c>
      <c r="E7" s="1">
        <v>136528</v>
      </c>
      <c r="F7" s="1">
        <v>206076</v>
      </c>
      <c r="G7" s="1" t="s">
        <v>18</v>
      </c>
      <c r="H7" s="1" t="s">
        <v>4</v>
      </c>
      <c r="I7" s="1" t="s">
        <v>14</v>
      </c>
      <c r="J7" s="1" t="s">
        <v>6</v>
      </c>
      <c r="K7" s="1" t="s">
        <v>19</v>
      </c>
      <c r="L7" s="1" t="s">
        <v>8</v>
      </c>
      <c r="M7" s="1" t="s">
        <v>8</v>
      </c>
      <c r="N7" s="1" t="s">
        <v>8</v>
      </c>
    </row>
    <row r="8" spans="1:14" x14ac:dyDescent="0.25">
      <c r="A8" s="1" t="s">
        <v>0</v>
      </c>
      <c r="B8" s="1">
        <v>32341273</v>
      </c>
      <c r="C8" s="1" t="s">
        <v>20</v>
      </c>
      <c r="D8" s="1" t="s">
        <v>10</v>
      </c>
      <c r="E8" s="1">
        <v>131660</v>
      </c>
      <c r="F8" s="1">
        <v>11571661</v>
      </c>
      <c r="G8" s="1" t="s">
        <v>21</v>
      </c>
      <c r="H8" s="1" t="s">
        <v>4</v>
      </c>
      <c r="I8" s="1" t="s">
        <v>5</v>
      </c>
      <c r="J8" s="1" t="s">
        <v>6</v>
      </c>
      <c r="K8" s="1" t="s">
        <v>22</v>
      </c>
      <c r="L8" s="1" t="s">
        <v>8</v>
      </c>
      <c r="M8" s="1" t="s">
        <v>8</v>
      </c>
      <c r="N8" s="1" t="s">
        <v>8</v>
      </c>
    </row>
    <row r="9" spans="1:14" x14ac:dyDescent="0.25">
      <c r="A9" s="1" t="s">
        <v>0</v>
      </c>
      <c r="B9" s="1">
        <v>32346707</v>
      </c>
      <c r="C9" s="1" t="s">
        <v>9</v>
      </c>
      <c r="D9" s="1" t="s">
        <v>10</v>
      </c>
      <c r="E9" s="1">
        <v>205938</v>
      </c>
      <c r="F9" s="1">
        <v>206080</v>
      </c>
      <c r="G9" s="1" t="s">
        <v>23</v>
      </c>
      <c r="H9" s="1" t="s">
        <v>4</v>
      </c>
      <c r="I9" s="1" t="s">
        <v>5</v>
      </c>
      <c r="J9" s="1" t="s">
        <v>6</v>
      </c>
      <c r="K9" s="1" t="s">
        <v>24</v>
      </c>
      <c r="L9" s="1" t="s">
        <v>8</v>
      </c>
      <c r="M9" s="1" t="s">
        <v>8</v>
      </c>
      <c r="N9" s="1" t="s">
        <v>8</v>
      </c>
    </row>
    <row r="10" spans="1:14" x14ac:dyDescent="0.25">
      <c r="A10" s="1" t="s">
        <v>0</v>
      </c>
      <c r="B10" s="1">
        <v>32355095</v>
      </c>
      <c r="C10" s="1" t="s">
        <v>2</v>
      </c>
      <c r="D10" s="1" t="s">
        <v>1</v>
      </c>
      <c r="E10" s="1">
        <v>131671</v>
      </c>
      <c r="F10" s="1">
        <v>1799955</v>
      </c>
      <c r="G10" s="1" t="s">
        <v>25</v>
      </c>
      <c r="H10" s="1" t="s">
        <v>4</v>
      </c>
      <c r="I10" s="1" t="s">
        <v>14</v>
      </c>
      <c r="J10" s="1" t="s">
        <v>6</v>
      </c>
      <c r="K10" s="1" t="s">
        <v>15</v>
      </c>
      <c r="L10" s="1" t="s">
        <v>8</v>
      </c>
      <c r="M10" s="1" t="s">
        <v>8</v>
      </c>
      <c r="N10" s="1" t="s">
        <v>8</v>
      </c>
    </row>
    <row r="11" spans="1:14" x14ac:dyDescent="0.25">
      <c r="A11" s="1" t="s">
        <v>0</v>
      </c>
      <c r="B11" s="1">
        <v>32355250</v>
      </c>
      <c r="C11" s="1" t="s">
        <v>9</v>
      </c>
      <c r="D11" s="1" t="s">
        <v>10</v>
      </c>
      <c r="E11" s="1">
        <v>137477</v>
      </c>
      <c r="F11" s="1">
        <v>169547</v>
      </c>
      <c r="G11" s="1" t="s">
        <v>26</v>
      </c>
      <c r="H11" s="1" t="s">
        <v>4</v>
      </c>
      <c r="I11" s="1" t="s">
        <v>27</v>
      </c>
      <c r="J11" s="1" t="s">
        <v>6</v>
      </c>
      <c r="K11" s="1" t="s">
        <v>28</v>
      </c>
      <c r="L11" s="1" t="s">
        <v>8</v>
      </c>
      <c r="M11" s="1" t="s">
        <v>8</v>
      </c>
      <c r="N11" s="1" t="s">
        <v>8</v>
      </c>
    </row>
    <row r="12" spans="1:14" x14ac:dyDescent="0.25">
      <c r="A12" s="1" t="s">
        <v>0</v>
      </c>
      <c r="B12" s="1">
        <v>32356799</v>
      </c>
      <c r="C12" s="1" t="s">
        <v>1</v>
      </c>
      <c r="D12" s="1" t="s">
        <v>2</v>
      </c>
      <c r="E12" s="1">
        <v>259469</v>
      </c>
      <c r="F12" s="1">
        <v>206096</v>
      </c>
      <c r="G12" s="1" t="s">
        <v>29</v>
      </c>
      <c r="H12" s="1" t="s">
        <v>4</v>
      </c>
      <c r="I12" s="1" t="s">
        <v>5</v>
      </c>
      <c r="J12" s="1" t="s">
        <v>6</v>
      </c>
      <c r="K12" s="1" t="s">
        <v>30</v>
      </c>
      <c r="L12" s="1" t="s">
        <v>8</v>
      </c>
      <c r="M12" s="1" t="s">
        <v>8</v>
      </c>
      <c r="N12" s="1" t="s">
        <v>8</v>
      </c>
    </row>
    <row r="13" spans="1:14" x14ac:dyDescent="0.25">
      <c r="A13" s="1" t="s">
        <v>0</v>
      </c>
      <c r="B13" s="1">
        <v>32362509</v>
      </c>
      <c r="C13" s="1" t="s">
        <v>9</v>
      </c>
      <c r="D13" s="1" t="s">
        <v>10</v>
      </c>
      <c r="E13" s="1">
        <v>131696</v>
      </c>
      <c r="F13" s="1">
        <v>9534262</v>
      </c>
      <c r="G13" s="1" t="s">
        <v>31</v>
      </c>
      <c r="H13" s="1" t="s">
        <v>4</v>
      </c>
      <c r="I13" s="1" t="s">
        <v>5</v>
      </c>
      <c r="J13" s="1" t="s">
        <v>6</v>
      </c>
      <c r="K13" s="1" t="s">
        <v>32</v>
      </c>
      <c r="L13" s="1" t="s">
        <v>8</v>
      </c>
      <c r="M13" s="1" t="s">
        <v>8</v>
      </c>
      <c r="N13" s="1" t="s">
        <v>8</v>
      </c>
    </row>
    <row r="14" spans="1:14" x14ac:dyDescent="0.25">
      <c r="A14" s="1" t="s">
        <v>0</v>
      </c>
      <c r="B14" s="1">
        <v>32362596</v>
      </c>
      <c r="C14" s="1" t="s">
        <v>2</v>
      </c>
      <c r="D14" s="1" t="s">
        <v>9</v>
      </c>
      <c r="E14" s="1">
        <v>67098</v>
      </c>
      <c r="F14" s="1">
        <v>80359014</v>
      </c>
      <c r="G14" s="1" t="s">
        <v>33</v>
      </c>
      <c r="H14" s="1" t="s">
        <v>4</v>
      </c>
      <c r="I14" s="1" t="s">
        <v>27</v>
      </c>
      <c r="J14" s="1" t="s">
        <v>34</v>
      </c>
      <c r="K14" s="1" t="s">
        <v>35</v>
      </c>
      <c r="L14" s="1" t="s">
        <v>8</v>
      </c>
      <c r="M14" s="1" t="s">
        <v>8</v>
      </c>
      <c r="N14" s="1" t="s">
        <v>8</v>
      </c>
    </row>
    <row r="15" spans="1:14" x14ac:dyDescent="0.25">
      <c r="A15" s="1" t="s">
        <v>0</v>
      </c>
      <c r="B15" s="1">
        <v>32376521</v>
      </c>
      <c r="C15" s="1" t="s">
        <v>36</v>
      </c>
      <c r="D15" s="1" t="s">
        <v>10</v>
      </c>
      <c r="E15" s="1">
        <v>1203395</v>
      </c>
      <c r="F15" s="1">
        <v>200156944</v>
      </c>
      <c r="G15" s="1" t="s">
        <v>37</v>
      </c>
      <c r="H15" s="1" t="s">
        <v>4</v>
      </c>
      <c r="I15" s="1" t="s">
        <v>5</v>
      </c>
      <c r="J15" s="1" t="s">
        <v>38</v>
      </c>
      <c r="K15" s="1" t="s">
        <v>39</v>
      </c>
      <c r="L15" s="1" t="s">
        <v>8</v>
      </c>
      <c r="M15" s="1" t="s">
        <v>8</v>
      </c>
      <c r="N15" s="1" t="s">
        <v>8</v>
      </c>
    </row>
    <row r="16" spans="1:14" x14ac:dyDescent="0.25">
      <c r="A16" s="1" t="s">
        <v>0</v>
      </c>
      <c r="B16" s="1">
        <v>32378348</v>
      </c>
      <c r="C16" s="1" t="s">
        <v>2</v>
      </c>
      <c r="D16" s="1" t="s">
        <v>1</v>
      </c>
      <c r="E16" s="1">
        <v>206075</v>
      </c>
      <c r="F16" s="1">
        <v>11571765</v>
      </c>
      <c r="G16" s="1" t="s">
        <v>40</v>
      </c>
      <c r="H16" s="1" t="s">
        <v>4</v>
      </c>
      <c r="I16" s="1" t="s">
        <v>5</v>
      </c>
      <c r="J16" s="1" t="s">
        <v>6</v>
      </c>
      <c r="K16" s="1" t="s">
        <v>41</v>
      </c>
      <c r="L16" s="1" t="s">
        <v>8</v>
      </c>
      <c r="M16" s="1" t="s">
        <v>8</v>
      </c>
      <c r="N16" s="1" t="s">
        <v>8</v>
      </c>
    </row>
    <row r="17" spans="1:14" x14ac:dyDescent="0.25">
      <c r="A17" s="1" t="s">
        <v>0</v>
      </c>
      <c r="B17" s="1">
        <v>32378352</v>
      </c>
      <c r="C17" s="1" t="s">
        <v>1</v>
      </c>
      <c r="D17" s="1" t="s">
        <v>9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" t="s">
        <v>8</v>
      </c>
    </row>
    <row r="18" spans="1:14" x14ac:dyDescent="0.25">
      <c r="A18" s="1" t="s">
        <v>0</v>
      </c>
      <c r="B18" s="1">
        <v>32380424</v>
      </c>
      <c r="C18" s="1" t="s">
        <v>1</v>
      </c>
      <c r="D18" s="1" t="s">
        <v>2</v>
      </c>
      <c r="E18" s="1">
        <v>206080</v>
      </c>
      <c r="F18" s="1">
        <v>7328654</v>
      </c>
      <c r="G18" s="1" t="s">
        <v>42</v>
      </c>
      <c r="H18" s="1" t="s">
        <v>4</v>
      </c>
      <c r="I18" s="1" t="s">
        <v>5</v>
      </c>
      <c r="J18" s="1" t="s">
        <v>6</v>
      </c>
      <c r="K18" s="1" t="s">
        <v>7</v>
      </c>
      <c r="L18" s="1" t="s">
        <v>8</v>
      </c>
      <c r="M18" s="1" t="s">
        <v>8</v>
      </c>
      <c r="N18" s="1" t="s">
        <v>8</v>
      </c>
    </row>
    <row r="19" spans="1:14" x14ac:dyDescent="0.25">
      <c r="A19" s="1" t="s">
        <v>0</v>
      </c>
      <c r="B19" s="1">
        <v>32385062</v>
      </c>
      <c r="C19" s="1" t="s">
        <v>10</v>
      </c>
      <c r="D19" s="1" t="s">
        <v>9</v>
      </c>
      <c r="E19" s="1">
        <v>206103</v>
      </c>
      <c r="F19" s="1">
        <v>2238162</v>
      </c>
      <c r="G19" s="1" t="s">
        <v>43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8</v>
      </c>
      <c r="M19" s="1" t="s">
        <v>8</v>
      </c>
      <c r="N19" s="1" t="s">
        <v>8</v>
      </c>
    </row>
    <row r="20" spans="1:14" x14ac:dyDescent="0.25">
      <c r="A20" s="1" t="s">
        <v>0</v>
      </c>
      <c r="B20" s="1">
        <v>32387908</v>
      </c>
      <c r="C20" s="1" t="s">
        <v>2</v>
      </c>
      <c r="D20" s="1" t="s">
        <v>10</v>
      </c>
      <c r="E20" s="1">
        <v>206118</v>
      </c>
      <c r="F20" s="1">
        <v>2100785</v>
      </c>
      <c r="G20" s="1" t="s">
        <v>44</v>
      </c>
      <c r="H20" s="1" t="s">
        <v>4</v>
      </c>
      <c r="I20" s="1" t="s">
        <v>5</v>
      </c>
      <c r="J20" s="1" t="s">
        <v>6</v>
      </c>
      <c r="K20" s="1" t="s">
        <v>41</v>
      </c>
      <c r="L20" s="1" t="s">
        <v>8</v>
      </c>
      <c r="M20" s="1" t="s">
        <v>8</v>
      </c>
      <c r="N20" s="1" t="s">
        <v>8</v>
      </c>
    </row>
    <row r="21" spans="1:14" x14ac:dyDescent="0.25">
      <c r="A21" s="1" t="s">
        <v>0</v>
      </c>
      <c r="B21" s="1">
        <v>32387951</v>
      </c>
      <c r="C21" s="1" t="s">
        <v>10</v>
      </c>
      <c r="D21" s="1" t="s">
        <v>9</v>
      </c>
      <c r="E21" s="1">
        <v>206119</v>
      </c>
      <c r="F21" s="1">
        <v>4570704</v>
      </c>
      <c r="G21" s="1" t="s">
        <v>45</v>
      </c>
      <c r="H21" s="1" t="s">
        <v>4</v>
      </c>
      <c r="I21" s="1" t="s">
        <v>5</v>
      </c>
      <c r="J21" s="1" t="s">
        <v>6</v>
      </c>
      <c r="K21" s="1" t="s">
        <v>41</v>
      </c>
      <c r="L21" s="1" t="s">
        <v>8</v>
      </c>
      <c r="M21" s="1" t="s">
        <v>8</v>
      </c>
      <c r="N21" s="1" t="s">
        <v>8</v>
      </c>
    </row>
    <row r="22" spans="1:14" x14ac:dyDescent="0.25">
      <c r="A22" s="1" t="s">
        <v>0</v>
      </c>
      <c r="B22" s="1">
        <v>32399139</v>
      </c>
      <c r="C22" s="1" t="s">
        <v>2</v>
      </c>
      <c r="D22" s="1" t="s">
        <v>1</v>
      </c>
      <c r="E22" s="1">
        <v>206172</v>
      </c>
      <c r="F22" s="1">
        <v>7334543</v>
      </c>
      <c r="G22" s="1" t="s">
        <v>46</v>
      </c>
      <c r="H22" s="1" t="s">
        <v>4</v>
      </c>
      <c r="I22" s="1" t="s">
        <v>47</v>
      </c>
      <c r="J22" s="1" t="s">
        <v>6</v>
      </c>
      <c r="K22" s="1" t="s">
        <v>48</v>
      </c>
      <c r="L22" s="1" t="s">
        <v>8</v>
      </c>
      <c r="M22" s="1" t="s">
        <v>8</v>
      </c>
      <c r="N22" s="1" t="s">
        <v>8</v>
      </c>
    </row>
    <row r="23" spans="1:14" x14ac:dyDescent="0.25">
      <c r="A23" s="1" t="s">
        <v>0</v>
      </c>
      <c r="B23" s="1">
        <v>32399302</v>
      </c>
      <c r="C23" s="1" t="s">
        <v>2</v>
      </c>
      <c r="D23" s="1" t="s">
        <v>1</v>
      </c>
      <c r="E23" s="1">
        <v>206176</v>
      </c>
      <c r="F23" s="1">
        <v>11571836</v>
      </c>
      <c r="G23" s="1" t="s">
        <v>49</v>
      </c>
      <c r="H23" s="1" t="s">
        <v>4</v>
      </c>
      <c r="I23" s="1" t="s">
        <v>47</v>
      </c>
      <c r="J23" s="1" t="s">
        <v>6</v>
      </c>
      <c r="K23" s="1" t="s">
        <v>50</v>
      </c>
      <c r="L23" s="1" t="s">
        <v>8</v>
      </c>
      <c r="M23" s="1" t="s">
        <v>8</v>
      </c>
      <c r="N23" s="1" t="s">
        <v>8</v>
      </c>
    </row>
    <row r="24" spans="1:14" x14ac:dyDescent="0.25">
      <c r="A24" s="1" t="s">
        <v>0</v>
      </c>
      <c r="B24" s="1">
        <v>32399599</v>
      </c>
      <c r="C24" s="1" t="s">
        <v>51</v>
      </c>
      <c r="D24" s="1" t="s">
        <v>2</v>
      </c>
      <c r="E24" s="1">
        <v>259529</v>
      </c>
      <c r="F24" s="1">
        <v>75353978</v>
      </c>
      <c r="G24" s="1" t="s">
        <v>52</v>
      </c>
      <c r="H24" s="1" t="s">
        <v>4</v>
      </c>
      <c r="I24" s="1" t="s">
        <v>47</v>
      </c>
      <c r="J24" s="1" t="s">
        <v>6</v>
      </c>
      <c r="K24" s="1" t="s">
        <v>41</v>
      </c>
      <c r="L24" s="1" t="s">
        <v>8</v>
      </c>
      <c r="M24" s="1" t="s">
        <v>8</v>
      </c>
      <c r="N24" s="1" t="s">
        <v>8</v>
      </c>
    </row>
    <row r="25" spans="1:14" x14ac:dyDescent="0.25">
      <c r="A25" s="1" t="s">
        <v>53</v>
      </c>
      <c r="B25" s="1">
        <v>43044391</v>
      </c>
      <c r="C25" s="1" t="s">
        <v>1</v>
      </c>
      <c r="D25" s="1" t="s">
        <v>2</v>
      </c>
      <c r="E25" s="1">
        <v>136525</v>
      </c>
      <c r="F25" s="1">
        <v>12516</v>
      </c>
      <c r="G25" s="1" t="s">
        <v>54</v>
      </c>
      <c r="H25" s="1" t="s">
        <v>55</v>
      </c>
      <c r="I25" s="1" t="s">
        <v>56</v>
      </c>
      <c r="J25" s="1" t="s">
        <v>6</v>
      </c>
      <c r="K25" s="1" t="s">
        <v>57</v>
      </c>
      <c r="L25" s="1" t="s">
        <v>8</v>
      </c>
      <c r="M25" s="1" t="s">
        <v>8</v>
      </c>
      <c r="N25" s="1" t="s">
        <v>8</v>
      </c>
    </row>
    <row r="26" spans="1:14" x14ac:dyDescent="0.25">
      <c r="A26" s="1" t="s">
        <v>53</v>
      </c>
      <c r="B26" s="1">
        <v>43045257</v>
      </c>
      <c r="C26" s="1" t="s">
        <v>10</v>
      </c>
      <c r="D26" s="1" t="s">
        <v>2</v>
      </c>
      <c r="E26" s="1">
        <v>206192</v>
      </c>
      <c r="F26" s="1">
        <v>8176318</v>
      </c>
      <c r="G26" s="1" t="s">
        <v>58</v>
      </c>
      <c r="H26" s="1" t="s">
        <v>55</v>
      </c>
      <c r="I26" s="1" t="s">
        <v>56</v>
      </c>
      <c r="J26" s="1" t="s">
        <v>6</v>
      </c>
      <c r="K26" s="1" t="s">
        <v>59</v>
      </c>
      <c r="L26" s="1" t="s">
        <v>8</v>
      </c>
      <c r="M26" s="1" t="s">
        <v>8</v>
      </c>
      <c r="N26" s="1" t="s">
        <v>8</v>
      </c>
    </row>
    <row r="27" spans="1:14" x14ac:dyDescent="0.25">
      <c r="A27" s="1" t="s">
        <v>53</v>
      </c>
      <c r="B27" s="1">
        <v>43063808</v>
      </c>
      <c r="C27" s="1" t="s">
        <v>10</v>
      </c>
      <c r="D27" s="1" t="s">
        <v>9</v>
      </c>
      <c r="E27" s="1">
        <v>70095</v>
      </c>
      <c r="F27" s="1">
        <v>3092994</v>
      </c>
      <c r="G27" s="1" t="s">
        <v>60</v>
      </c>
      <c r="H27" s="1" t="s">
        <v>55</v>
      </c>
      <c r="I27" s="1" t="s">
        <v>5</v>
      </c>
      <c r="J27" s="1" t="s">
        <v>6</v>
      </c>
      <c r="K27" s="1" t="s">
        <v>61</v>
      </c>
      <c r="L27" s="1" t="s">
        <v>8</v>
      </c>
      <c r="M27" s="1" t="s">
        <v>8</v>
      </c>
      <c r="N27" s="1" t="s">
        <v>8</v>
      </c>
    </row>
    <row r="28" spans="1:14" x14ac:dyDescent="0.25">
      <c r="A28" s="1" t="s">
        <v>53</v>
      </c>
      <c r="B28" s="1">
        <v>43067543</v>
      </c>
      <c r="C28" s="1" t="s">
        <v>10</v>
      </c>
      <c r="D28" s="1" t="s">
        <v>9</v>
      </c>
      <c r="E28" s="1">
        <v>132629</v>
      </c>
      <c r="F28" s="1">
        <v>8176235</v>
      </c>
      <c r="G28" s="1" t="s">
        <v>62</v>
      </c>
      <c r="H28" s="1" t="s">
        <v>55</v>
      </c>
      <c r="I28" s="1" t="s">
        <v>5</v>
      </c>
      <c r="J28" s="1" t="s">
        <v>6</v>
      </c>
      <c r="K28" s="1" t="s">
        <v>63</v>
      </c>
      <c r="L28" s="1" t="s">
        <v>8</v>
      </c>
      <c r="M28" s="1" t="s">
        <v>8</v>
      </c>
      <c r="N28" s="1" t="s">
        <v>8</v>
      </c>
    </row>
    <row r="29" spans="1:14" x14ac:dyDescent="0.25">
      <c r="A29" s="1" t="s">
        <v>53</v>
      </c>
      <c r="B29" s="1">
        <v>43067763</v>
      </c>
      <c r="C29" s="1" t="s">
        <v>9</v>
      </c>
      <c r="D29" s="1" t="s">
        <v>10</v>
      </c>
      <c r="E29" s="1">
        <v>131284</v>
      </c>
      <c r="F29" s="1">
        <v>8176234</v>
      </c>
      <c r="G29" s="1" t="s">
        <v>64</v>
      </c>
      <c r="H29" s="1" t="s">
        <v>55</v>
      </c>
      <c r="I29" s="1" t="s">
        <v>5</v>
      </c>
      <c r="J29" s="1" t="s">
        <v>6</v>
      </c>
      <c r="K29" s="1" t="s">
        <v>65</v>
      </c>
      <c r="L29" s="1" t="s">
        <v>8</v>
      </c>
      <c r="M29" s="1" t="s">
        <v>8</v>
      </c>
      <c r="N29" s="1" t="s">
        <v>8</v>
      </c>
    </row>
    <row r="30" spans="1:14" x14ac:dyDescent="0.25">
      <c r="A30" s="1" t="s">
        <v>53</v>
      </c>
      <c r="B30" s="1">
        <v>43071077</v>
      </c>
      <c r="C30" s="1" t="s">
        <v>9</v>
      </c>
      <c r="D30" s="1" t="s">
        <v>10</v>
      </c>
      <c r="E30" s="1">
        <v>50266</v>
      </c>
      <c r="F30" s="1">
        <v>1799966</v>
      </c>
      <c r="G30" s="1" t="s">
        <v>66</v>
      </c>
      <c r="H30" s="1" t="s">
        <v>55</v>
      </c>
      <c r="I30" s="1" t="s">
        <v>67</v>
      </c>
      <c r="J30" s="1" t="s">
        <v>6</v>
      </c>
      <c r="K30" s="1" t="s">
        <v>68</v>
      </c>
      <c r="L30" s="1" t="s">
        <v>8</v>
      </c>
      <c r="M30" s="1" t="s">
        <v>8</v>
      </c>
      <c r="N30" s="1" t="s">
        <v>8</v>
      </c>
    </row>
    <row r="31" spans="1:14" x14ac:dyDescent="0.25">
      <c r="A31" s="1" t="s">
        <v>53</v>
      </c>
      <c r="B31" s="1">
        <v>43074584</v>
      </c>
      <c r="C31" s="1" t="s">
        <v>1</v>
      </c>
      <c r="D31" s="1" t="s">
        <v>10</v>
      </c>
      <c r="E31" s="1">
        <v>206332</v>
      </c>
      <c r="F31" s="1">
        <v>273900734</v>
      </c>
      <c r="G31" s="1" t="s">
        <v>69</v>
      </c>
      <c r="H31" s="1" t="s">
        <v>55</v>
      </c>
      <c r="I31" s="1" t="s">
        <v>5</v>
      </c>
      <c r="J31" s="1" t="s">
        <v>6</v>
      </c>
      <c r="K31" s="1" t="s">
        <v>57</v>
      </c>
      <c r="L31" s="1" t="s">
        <v>8</v>
      </c>
      <c r="M31" s="1" t="s">
        <v>8</v>
      </c>
      <c r="N31" s="1" t="s">
        <v>8</v>
      </c>
    </row>
    <row r="32" spans="1:14" x14ac:dyDescent="0.25">
      <c r="A32" s="1" t="s">
        <v>53</v>
      </c>
      <c r="B32" s="1">
        <v>43079204</v>
      </c>
      <c r="C32" s="1" t="s">
        <v>2</v>
      </c>
      <c r="D32" s="1" t="s">
        <v>10</v>
      </c>
      <c r="E32" s="1">
        <v>206356</v>
      </c>
      <c r="F32" s="1">
        <v>8176194</v>
      </c>
      <c r="G32" s="1" t="s">
        <v>70</v>
      </c>
      <c r="H32" s="1" t="s">
        <v>55</v>
      </c>
      <c r="I32" s="1" t="s">
        <v>5</v>
      </c>
      <c r="J32" s="1" t="s">
        <v>6</v>
      </c>
      <c r="K32" s="1" t="s">
        <v>71</v>
      </c>
      <c r="L32" s="1" t="s">
        <v>8</v>
      </c>
      <c r="M32" s="1" t="s">
        <v>8</v>
      </c>
      <c r="N32" s="1" t="s">
        <v>8</v>
      </c>
    </row>
    <row r="33" spans="1:14" x14ac:dyDescent="0.25">
      <c r="A33" s="1" t="s">
        <v>53</v>
      </c>
      <c r="B33" s="1">
        <v>43079499</v>
      </c>
      <c r="C33" s="1" t="s">
        <v>10</v>
      </c>
      <c r="D33" s="1" t="s">
        <v>9</v>
      </c>
      <c r="E33" s="1">
        <v>206357</v>
      </c>
      <c r="F33" s="1">
        <v>8176193</v>
      </c>
      <c r="G33" s="1" t="s">
        <v>72</v>
      </c>
      <c r="H33" s="1" t="s">
        <v>55</v>
      </c>
      <c r="I33" s="1" t="s">
        <v>5</v>
      </c>
      <c r="J33" s="1" t="s">
        <v>6</v>
      </c>
      <c r="K33" s="1" t="s">
        <v>73</v>
      </c>
      <c r="L33" s="1" t="s">
        <v>8</v>
      </c>
      <c r="M33" s="1" t="s">
        <v>8</v>
      </c>
      <c r="N33" s="1" t="s">
        <v>8</v>
      </c>
    </row>
    <row r="34" spans="1:14" x14ac:dyDescent="0.25">
      <c r="A34" s="1" t="s">
        <v>53</v>
      </c>
      <c r="B34" s="1">
        <v>43082357</v>
      </c>
      <c r="C34" s="1" t="s">
        <v>1</v>
      </c>
      <c r="D34" s="1" t="s">
        <v>9</v>
      </c>
      <c r="E34" s="1" t="s">
        <v>8</v>
      </c>
      <c r="F34" s="1" t="s">
        <v>8</v>
      </c>
      <c r="G34" s="1" t="s">
        <v>8</v>
      </c>
      <c r="H34" s="1" t="s">
        <v>8</v>
      </c>
      <c r="I34" s="1" t="s">
        <v>8</v>
      </c>
      <c r="J34" s="1" t="s">
        <v>8</v>
      </c>
      <c r="K34" s="1" t="s">
        <v>8</v>
      </c>
      <c r="L34" s="1" t="s">
        <v>8</v>
      </c>
      <c r="M34" s="1" t="s">
        <v>8</v>
      </c>
      <c r="N34" s="1" t="s">
        <v>8</v>
      </c>
    </row>
    <row r="35" spans="1:14" x14ac:dyDescent="0.25">
      <c r="A35" s="1" t="s">
        <v>53</v>
      </c>
      <c r="B35" s="1">
        <v>43082453</v>
      </c>
      <c r="C35" s="1" t="s">
        <v>2</v>
      </c>
      <c r="D35" s="1" t="s">
        <v>1</v>
      </c>
      <c r="E35" s="1">
        <v>131241</v>
      </c>
      <c r="F35" s="1">
        <v>1060915</v>
      </c>
      <c r="G35" s="1" t="s">
        <v>74</v>
      </c>
      <c r="H35" s="1" t="s">
        <v>55</v>
      </c>
      <c r="I35" s="1" t="s">
        <v>14</v>
      </c>
      <c r="J35" s="1" t="s">
        <v>6</v>
      </c>
      <c r="K35" s="1" t="s">
        <v>75</v>
      </c>
      <c r="L35" s="1" t="s">
        <v>8</v>
      </c>
      <c r="M35" s="1" t="s">
        <v>8</v>
      </c>
      <c r="N35" s="1" t="s">
        <v>8</v>
      </c>
    </row>
    <row r="36" spans="1:14" x14ac:dyDescent="0.25">
      <c r="A36" s="1" t="s">
        <v>53</v>
      </c>
      <c r="B36" s="1">
        <v>43091173</v>
      </c>
      <c r="C36" s="1" t="s">
        <v>9</v>
      </c>
      <c r="D36" s="1" t="s">
        <v>1</v>
      </c>
      <c r="E36" s="1">
        <v>131212</v>
      </c>
      <c r="F36" s="1">
        <v>799916</v>
      </c>
      <c r="G36" s="1" t="s">
        <v>76</v>
      </c>
      <c r="H36" s="1" t="s">
        <v>77</v>
      </c>
      <c r="I36" s="1" t="s">
        <v>5</v>
      </c>
      <c r="J36" s="1" t="s">
        <v>6</v>
      </c>
      <c r="K36" s="1" t="s">
        <v>78</v>
      </c>
      <c r="L36" s="1" t="s">
        <v>8</v>
      </c>
      <c r="M36" s="1" t="s">
        <v>8</v>
      </c>
      <c r="N36" s="1" t="s">
        <v>8</v>
      </c>
    </row>
    <row r="37" spans="1:14" x14ac:dyDescent="0.25">
      <c r="A37" s="1" t="s">
        <v>53</v>
      </c>
      <c r="B37" s="1">
        <v>43091983</v>
      </c>
      <c r="C37" s="1" t="s">
        <v>9</v>
      </c>
      <c r="D37" s="1" t="s">
        <v>10</v>
      </c>
      <c r="E37" s="1">
        <v>50257</v>
      </c>
      <c r="F37" s="1">
        <v>16942</v>
      </c>
      <c r="G37" s="1" t="s">
        <v>79</v>
      </c>
      <c r="H37" s="1" t="s">
        <v>77</v>
      </c>
      <c r="I37" s="1" t="s">
        <v>80</v>
      </c>
      <c r="J37" s="1" t="s">
        <v>6</v>
      </c>
      <c r="K37" s="1" t="s">
        <v>81</v>
      </c>
      <c r="L37" s="1" t="s">
        <v>8</v>
      </c>
      <c r="M37" s="1" t="s">
        <v>8</v>
      </c>
      <c r="N37" s="1" t="s">
        <v>8</v>
      </c>
    </row>
    <row r="38" spans="1:14" x14ac:dyDescent="0.25">
      <c r="A38" s="1" t="s">
        <v>53</v>
      </c>
      <c r="B38" s="1">
        <v>43092418</v>
      </c>
      <c r="C38" s="1" t="s">
        <v>9</v>
      </c>
      <c r="D38" s="1" t="s">
        <v>10</v>
      </c>
      <c r="E38" s="1">
        <v>50254</v>
      </c>
      <c r="F38" s="1">
        <v>16941</v>
      </c>
      <c r="G38" s="1" t="s">
        <v>82</v>
      </c>
      <c r="H38" s="1" t="s">
        <v>55</v>
      </c>
      <c r="I38" s="1" t="s">
        <v>80</v>
      </c>
      <c r="J38" s="1" t="s">
        <v>6</v>
      </c>
      <c r="K38" s="1" t="s">
        <v>68</v>
      </c>
      <c r="L38" s="1" t="s">
        <v>8</v>
      </c>
      <c r="M38" s="1" t="s">
        <v>8</v>
      </c>
      <c r="N38" s="1" t="s">
        <v>8</v>
      </c>
    </row>
    <row r="39" spans="1:14" x14ac:dyDescent="0.25">
      <c r="A39" s="1" t="s">
        <v>53</v>
      </c>
      <c r="B39" s="1">
        <v>43092919</v>
      </c>
      <c r="C39" s="1" t="s">
        <v>1</v>
      </c>
      <c r="D39" s="1" t="s">
        <v>2</v>
      </c>
      <c r="E39" s="1">
        <v>50251</v>
      </c>
      <c r="F39" s="1">
        <v>799917</v>
      </c>
      <c r="G39" s="1" t="s">
        <v>83</v>
      </c>
      <c r="H39" s="1" t="s">
        <v>55</v>
      </c>
      <c r="I39" s="1" t="s">
        <v>80</v>
      </c>
      <c r="J39" s="1" t="s">
        <v>6</v>
      </c>
      <c r="K39" s="1" t="s">
        <v>81</v>
      </c>
      <c r="L39" s="1" t="s">
        <v>8</v>
      </c>
      <c r="M39" s="1" t="s">
        <v>8</v>
      </c>
      <c r="N39" s="1" t="s">
        <v>8</v>
      </c>
    </row>
    <row r="40" spans="1:14" x14ac:dyDescent="0.25">
      <c r="A40" s="1" t="s">
        <v>53</v>
      </c>
      <c r="B40" s="1">
        <v>43093220</v>
      </c>
      <c r="C40" s="1" t="s">
        <v>2</v>
      </c>
      <c r="D40" s="1" t="s">
        <v>1</v>
      </c>
      <c r="E40" s="1">
        <v>131092</v>
      </c>
      <c r="F40" s="1">
        <v>16940</v>
      </c>
      <c r="G40" s="1" t="s">
        <v>84</v>
      </c>
      <c r="H40" s="1" t="s">
        <v>55</v>
      </c>
      <c r="I40" s="1" t="s">
        <v>85</v>
      </c>
      <c r="J40" s="1" t="s">
        <v>6</v>
      </c>
      <c r="K40" s="1" t="s">
        <v>75</v>
      </c>
      <c r="L40" s="1" t="s">
        <v>8</v>
      </c>
      <c r="M40" s="1" t="s">
        <v>8</v>
      </c>
      <c r="N40" s="1" t="s">
        <v>8</v>
      </c>
    </row>
    <row r="41" spans="1:14" x14ac:dyDescent="0.25">
      <c r="A41" s="1" t="s">
        <v>53</v>
      </c>
      <c r="B41" s="1">
        <v>43093449</v>
      </c>
      <c r="C41" s="1" t="s">
        <v>1</v>
      </c>
      <c r="D41" s="1" t="s">
        <v>2</v>
      </c>
      <c r="E41" s="1">
        <v>131074</v>
      </c>
      <c r="F41" s="1">
        <v>1799949</v>
      </c>
      <c r="G41" s="1" t="s">
        <v>86</v>
      </c>
      <c r="H41" s="1" t="s">
        <v>55</v>
      </c>
      <c r="I41" s="1" t="s">
        <v>85</v>
      </c>
      <c r="J41" s="1" t="s">
        <v>6</v>
      </c>
      <c r="K41" s="1" t="s">
        <v>75</v>
      </c>
      <c r="L41" s="1" t="s">
        <v>8</v>
      </c>
      <c r="M41" s="1" t="s">
        <v>8</v>
      </c>
      <c r="N41" s="1" t="s">
        <v>8</v>
      </c>
    </row>
    <row r="42" spans="1:14" x14ac:dyDescent="0.25">
      <c r="A42" s="1" t="s">
        <v>53</v>
      </c>
      <c r="B42" s="1">
        <v>43097346</v>
      </c>
      <c r="C42" s="1" t="s">
        <v>87</v>
      </c>
      <c r="D42" s="1" t="s">
        <v>9</v>
      </c>
      <c r="E42" s="1">
        <v>131427</v>
      </c>
      <c r="F42" s="1">
        <v>8176144</v>
      </c>
      <c r="G42" s="1" t="s">
        <v>88</v>
      </c>
      <c r="H42" s="1" t="s">
        <v>55</v>
      </c>
      <c r="I42" s="1" t="s">
        <v>5</v>
      </c>
      <c r="J42" s="1" t="s">
        <v>6</v>
      </c>
      <c r="K42" s="1" t="s">
        <v>65</v>
      </c>
      <c r="L42" s="1" t="s">
        <v>8</v>
      </c>
      <c r="M42" s="1" t="s">
        <v>8</v>
      </c>
      <c r="N42" s="1" t="s">
        <v>8</v>
      </c>
    </row>
    <row r="43" spans="1:14" x14ac:dyDescent="0.25">
      <c r="A43" s="1" t="s">
        <v>53</v>
      </c>
      <c r="B43" s="1">
        <v>43104057</v>
      </c>
      <c r="C43" s="1" t="s">
        <v>36</v>
      </c>
      <c r="D43" s="1" t="s">
        <v>10</v>
      </c>
      <c r="E43" s="1">
        <v>971078</v>
      </c>
      <c r="F43" s="1">
        <v>72434991</v>
      </c>
      <c r="G43" s="1" t="s">
        <v>89</v>
      </c>
      <c r="H43" s="1" t="s">
        <v>55</v>
      </c>
      <c r="I43" s="1" t="s">
        <v>5</v>
      </c>
      <c r="J43" s="1" t="s">
        <v>6</v>
      </c>
      <c r="K43" s="1" t="s">
        <v>57</v>
      </c>
      <c r="L43" s="1" t="s">
        <v>8</v>
      </c>
      <c r="M43" s="1" t="s">
        <v>8</v>
      </c>
      <c r="N43" s="1" t="s">
        <v>8</v>
      </c>
    </row>
    <row r="44" spans="1:14" x14ac:dyDescent="0.25">
      <c r="A44" s="1" t="s">
        <v>53</v>
      </c>
      <c r="B44" s="1">
        <v>43104072</v>
      </c>
      <c r="C44" s="1" t="s">
        <v>90</v>
      </c>
      <c r="D44" s="1" t="s">
        <v>2</v>
      </c>
      <c r="E44" s="1">
        <v>227569</v>
      </c>
      <c r="F44" s="1">
        <v>373413425</v>
      </c>
      <c r="G44" s="1" t="s">
        <v>91</v>
      </c>
      <c r="H44" s="1" t="s">
        <v>55</v>
      </c>
      <c r="I44" s="1" t="s">
        <v>5</v>
      </c>
      <c r="J44" s="1" t="s">
        <v>92</v>
      </c>
      <c r="K44" s="1" t="s">
        <v>93</v>
      </c>
      <c r="L44" s="1" t="s">
        <v>8</v>
      </c>
      <c r="M44" s="1" t="s">
        <v>8</v>
      </c>
      <c r="N44" s="1" t="s">
        <v>8</v>
      </c>
    </row>
    <row r="45" spans="1:14" x14ac:dyDescent="0.25">
      <c r="A45" s="1" t="s">
        <v>53</v>
      </c>
      <c r="B45" s="1">
        <v>43132161</v>
      </c>
      <c r="C45" s="1" t="s">
        <v>1</v>
      </c>
      <c r="D45" s="1" t="s">
        <v>9</v>
      </c>
      <c r="E45" s="1" t="s">
        <v>8</v>
      </c>
      <c r="F45" s="1" t="s">
        <v>8</v>
      </c>
      <c r="G45" s="1" t="s">
        <v>8</v>
      </c>
      <c r="H45" s="1" t="s">
        <v>8</v>
      </c>
      <c r="I45" s="1" t="s">
        <v>8</v>
      </c>
      <c r="J45" s="1" t="s">
        <v>8</v>
      </c>
      <c r="K45" s="1" t="s">
        <v>8</v>
      </c>
      <c r="L45" s="1" t="s">
        <v>8</v>
      </c>
      <c r="M45" s="1" t="s">
        <v>8</v>
      </c>
      <c r="N45" s="1" t="s">
        <v>8</v>
      </c>
    </row>
    <row r="46" spans="1:14" x14ac:dyDescent="0.25">
      <c r="A46" s="1" t="s">
        <v>53</v>
      </c>
      <c r="B46" s="1">
        <v>43135298</v>
      </c>
      <c r="C46" s="1" t="s">
        <v>1</v>
      </c>
      <c r="D46" s="1" t="s">
        <v>94</v>
      </c>
      <c r="E46" s="1" t="s">
        <v>8</v>
      </c>
      <c r="F46" s="1" t="s">
        <v>8</v>
      </c>
      <c r="G46" s="1" t="s">
        <v>8</v>
      </c>
      <c r="H46" s="1" t="s">
        <v>8</v>
      </c>
      <c r="I46" s="1" t="s">
        <v>8</v>
      </c>
      <c r="J46" s="1" t="s">
        <v>8</v>
      </c>
      <c r="K46" s="1" t="s">
        <v>8</v>
      </c>
      <c r="L46" s="1" t="s">
        <v>8</v>
      </c>
      <c r="M46" s="1" t="s">
        <v>8</v>
      </c>
      <c r="N46" s="1" t="s">
        <v>8</v>
      </c>
    </row>
    <row r="47" spans="1:14" x14ac:dyDescent="0.25">
      <c r="A47" s="1" t="s">
        <v>53</v>
      </c>
      <c r="B47" s="1">
        <v>43145635</v>
      </c>
      <c r="C47" s="1" t="s">
        <v>2</v>
      </c>
      <c r="D47" s="1" t="s">
        <v>10</v>
      </c>
      <c r="E47" s="1" t="s">
        <v>8</v>
      </c>
      <c r="F47" s="1" t="s">
        <v>8</v>
      </c>
      <c r="G47" s="1" t="s">
        <v>8</v>
      </c>
      <c r="H47" s="1" t="s">
        <v>8</v>
      </c>
      <c r="I47" s="1" t="s">
        <v>8</v>
      </c>
      <c r="J47" s="1" t="s">
        <v>8</v>
      </c>
      <c r="K47" s="1" t="s">
        <v>8</v>
      </c>
      <c r="L47" s="1" t="s">
        <v>8</v>
      </c>
      <c r="M47" s="1" t="s">
        <v>8</v>
      </c>
      <c r="N47" s="1" t="s">
        <v>8</v>
      </c>
    </row>
    <row r="48" spans="1:14" x14ac:dyDescent="0.25">
      <c r="A48" s="1" t="s">
        <v>53</v>
      </c>
      <c r="B48" s="1">
        <v>43147814</v>
      </c>
      <c r="C48" s="1" t="s">
        <v>10</v>
      </c>
      <c r="D48" s="1" t="s">
        <v>95</v>
      </c>
      <c r="E48" s="1" t="s">
        <v>8</v>
      </c>
      <c r="F48" s="1" t="s">
        <v>8</v>
      </c>
      <c r="G48" s="1" t="s">
        <v>8</v>
      </c>
      <c r="H48" s="1" t="s">
        <v>8</v>
      </c>
      <c r="I48" s="1" t="s">
        <v>8</v>
      </c>
      <c r="J48" s="1" t="s">
        <v>8</v>
      </c>
      <c r="K48" s="1" t="s">
        <v>8</v>
      </c>
      <c r="L48" s="1" t="s">
        <v>8</v>
      </c>
      <c r="M48" s="1" t="s">
        <v>8</v>
      </c>
      <c r="N48" s="1" t="s">
        <v>8</v>
      </c>
    </row>
    <row r="49" spans="1:14" x14ac:dyDescent="0.25">
      <c r="A49" s="1" t="s">
        <v>53</v>
      </c>
      <c r="B49" s="1">
        <v>43147911</v>
      </c>
      <c r="C49" s="1" t="s">
        <v>1</v>
      </c>
      <c r="D49" s="1" t="s">
        <v>10</v>
      </c>
      <c r="E49" s="1" t="s">
        <v>8</v>
      </c>
      <c r="F49" s="1" t="s">
        <v>8</v>
      </c>
      <c r="G49" s="1" t="s">
        <v>8</v>
      </c>
      <c r="H49" s="1" t="s">
        <v>8</v>
      </c>
      <c r="I49" s="1" t="s">
        <v>8</v>
      </c>
      <c r="J49" s="1" t="s">
        <v>8</v>
      </c>
      <c r="K49" s="1" t="s">
        <v>8</v>
      </c>
      <c r="L49" s="1" t="s">
        <v>8</v>
      </c>
      <c r="M49" s="1" t="s">
        <v>8</v>
      </c>
      <c r="N49" s="1" t="s">
        <v>8</v>
      </c>
    </row>
    <row r="50" spans="1:14" x14ac:dyDescent="0.25">
      <c r="A50" s="1" t="s">
        <v>53</v>
      </c>
      <c r="B50" s="1">
        <v>43148782</v>
      </c>
      <c r="C50" s="1" t="s">
        <v>10</v>
      </c>
      <c r="D50" s="1" t="s">
        <v>2</v>
      </c>
      <c r="E50" s="1" t="s">
        <v>8</v>
      </c>
      <c r="F50" s="1" t="s">
        <v>8</v>
      </c>
      <c r="G50" s="1" t="s">
        <v>8</v>
      </c>
      <c r="H50" s="1" t="s">
        <v>8</v>
      </c>
      <c r="I50" s="1" t="s">
        <v>8</v>
      </c>
      <c r="J50" s="1" t="s">
        <v>8</v>
      </c>
      <c r="K50" s="1" t="s">
        <v>8</v>
      </c>
      <c r="L50" s="1" t="s">
        <v>8</v>
      </c>
      <c r="M50" s="1" t="s">
        <v>8</v>
      </c>
      <c r="N50" s="1" t="s">
        <v>8</v>
      </c>
    </row>
    <row r="51" spans="1:14" x14ac:dyDescent="0.25">
      <c r="A51" s="1" t="s">
        <v>53</v>
      </c>
      <c r="B51" s="1">
        <v>43169829</v>
      </c>
      <c r="C51" s="1" t="s">
        <v>10</v>
      </c>
      <c r="D51" s="1" t="s">
        <v>9</v>
      </c>
      <c r="E51" s="1" t="s">
        <v>8</v>
      </c>
      <c r="F51" s="1" t="s">
        <v>8</v>
      </c>
      <c r="G51" s="1" t="s">
        <v>8</v>
      </c>
      <c r="H51" s="1" t="s">
        <v>8</v>
      </c>
      <c r="I51" s="1" t="s">
        <v>8</v>
      </c>
      <c r="J51" s="1" t="s">
        <v>8</v>
      </c>
      <c r="K51" s="1" t="s">
        <v>8</v>
      </c>
      <c r="L51" s="1" t="s">
        <v>8</v>
      </c>
      <c r="M51" s="1" t="s">
        <v>8</v>
      </c>
      <c r="N51" s="1" t="s">
        <v>8</v>
      </c>
    </row>
    <row r="54" spans="1:14" x14ac:dyDescent="0.25">
      <c r="A54" s="3" t="s">
        <v>6</v>
      </c>
      <c r="B54" s="3" t="s">
        <v>111</v>
      </c>
      <c r="C54" s="3" t="s">
        <v>38</v>
      </c>
      <c r="D54" s="4" t="s">
        <v>34</v>
      </c>
      <c r="E54" s="5" t="s">
        <v>112</v>
      </c>
    </row>
    <row r="55" spans="1:14" x14ac:dyDescent="0.25">
      <c r="A55" s="1">
        <f>COUNTIF(J2:J51,"Benign")</f>
        <v>37</v>
      </c>
      <c r="B55" s="1">
        <f>COUNTIF(J2:J51,"Benign/Likely_benign")</f>
        <v>1</v>
      </c>
      <c r="C55" s="1">
        <f>COUNTIF(J2:J51,"Likely_benign")</f>
        <v>1</v>
      </c>
      <c r="D55" s="1">
        <f>COUNTIF(J2:J51,"Pathogenic")</f>
        <v>1</v>
      </c>
      <c r="E55" s="1">
        <f>COUNTIF(J2:J51,".")</f>
        <v>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ABE3-2121-4862-AFCB-3504E00A1977}">
  <dimension ref="A1:AJ75"/>
  <sheetViews>
    <sheetView tabSelected="1" workbookViewId="0">
      <selection activeCell="A2" sqref="A2:AJ2"/>
    </sheetView>
  </sheetViews>
  <sheetFormatPr defaultRowHeight="15" x14ac:dyDescent="0.25"/>
  <cols>
    <col min="1" max="1" width="17" bestFit="1" customWidth="1"/>
    <col min="2" max="2" width="39.7109375" bestFit="1" customWidth="1"/>
    <col min="3" max="3" width="32" bestFit="1" customWidth="1"/>
    <col min="4" max="4" width="14.28515625" bestFit="1" customWidth="1"/>
    <col min="5" max="5" width="16.42578125" bestFit="1" customWidth="1"/>
    <col min="6" max="6" width="18.85546875" bestFit="1" customWidth="1"/>
    <col min="7" max="7" width="23.28515625" bestFit="1" customWidth="1"/>
    <col min="8" max="8" width="18.5703125" bestFit="1" customWidth="1"/>
    <col min="9" max="9" width="22.7109375" bestFit="1" customWidth="1"/>
    <col min="10" max="10" width="22.42578125" bestFit="1" customWidth="1"/>
    <col min="11" max="11" width="27" bestFit="1" customWidth="1"/>
    <col min="12" max="12" width="28.42578125" bestFit="1" customWidth="1"/>
    <col min="13" max="13" width="19.5703125" bestFit="1" customWidth="1"/>
    <col min="14" max="14" width="19.42578125" bestFit="1" customWidth="1"/>
    <col min="15" max="15" width="14.85546875" bestFit="1" customWidth="1"/>
    <col min="16" max="16" width="20.28515625" bestFit="1" customWidth="1"/>
    <col min="17" max="17" width="17" bestFit="1" customWidth="1"/>
    <col min="18" max="18" width="22.28515625" bestFit="1" customWidth="1"/>
    <col min="19" max="19" width="19.140625" bestFit="1" customWidth="1"/>
    <col min="20" max="20" width="18.5703125" bestFit="1" customWidth="1"/>
    <col min="21" max="21" width="19" bestFit="1" customWidth="1"/>
    <col min="22" max="22" width="29.28515625" bestFit="1" customWidth="1"/>
    <col min="23" max="23" width="25" bestFit="1" customWidth="1"/>
    <col min="24" max="24" width="29.42578125" bestFit="1" customWidth="1"/>
    <col min="25" max="25" width="26.85546875" bestFit="1" customWidth="1"/>
    <col min="26" max="26" width="31.28515625" bestFit="1" customWidth="1"/>
    <col min="27" max="27" width="11.85546875" bestFit="1" customWidth="1"/>
    <col min="28" max="28" width="17.5703125" bestFit="1" customWidth="1"/>
    <col min="29" max="29" width="14.5703125" bestFit="1" customWidth="1"/>
    <col min="30" max="31" width="13.5703125" bestFit="1" customWidth="1"/>
    <col min="32" max="32" width="14.140625" bestFit="1" customWidth="1"/>
    <col min="33" max="33" width="34.85546875" bestFit="1" customWidth="1"/>
    <col min="34" max="34" width="8" bestFit="1" customWidth="1"/>
    <col min="35" max="35" width="8.140625" bestFit="1" customWidth="1"/>
    <col min="36" max="36" width="13.42578125" bestFit="1" customWidth="1"/>
  </cols>
  <sheetData>
    <row r="1" spans="1:36" x14ac:dyDescent="0.25">
      <c r="A1" t="s">
        <v>113</v>
      </c>
      <c r="B1" t="s">
        <v>114</v>
      </c>
      <c r="P1" s="7"/>
      <c r="Q1" s="7"/>
      <c r="V1" s="7"/>
      <c r="Y1" s="8"/>
      <c r="AG1" s="7"/>
    </row>
    <row r="2" spans="1:36" x14ac:dyDescent="0.25">
      <c r="A2" s="2" t="s">
        <v>115</v>
      </c>
      <c r="B2" s="2" t="s">
        <v>116</v>
      </c>
      <c r="C2" s="2" t="s">
        <v>117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122</v>
      </c>
      <c r="I2" s="2" t="s">
        <v>123</v>
      </c>
      <c r="J2" s="2" t="s">
        <v>124</v>
      </c>
      <c r="K2" s="2" t="s">
        <v>125</v>
      </c>
      <c r="L2" s="2" t="s">
        <v>126</v>
      </c>
      <c r="M2" s="2" t="s">
        <v>127</v>
      </c>
      <c r="N2" s="2" t="s">
        <v>128</v>
      </c>
      <c r="O2" s="2" t="s">
        <v>129</v>
      </c>
      <c r="P2" s="2" t="s">
        <v>130</v>
      </c>
      <c r="Q2" s="2" t="s">
        <v>131</v>
      </c>
      <c r="R2" s="2" t="s">
        <v>132</v>
      </c>
      <c r="S2" s="2" t="s">
        <v>133</v>
      </c>
      <c r="T2" s="2" t="s">
        <v>134</v>
      </c>
      <c r="U2" s="2" t="s">
        <v>135</v>
      </c>
      <c r="V2" s="2" t="s">
        <v>136</v>
      </c>
      <c r="W2" s="2" t="s">
        <v>137</v>
      </c>
      <c r="X2" s="2" t="s">
        <v>138</v>
      </c>
      <c r="Y2" s="11" t="s">
        <v>139</v>
      </c>
      <c r="Z2" s="2" t="s">
        <v>140</v>
      </c>
      <c r="AA2" s="2" t="s">
        <v>141</v>
      </c>
      <c r="AB2" s="2" t="s">
        <v>142</v>
      </c>
      <c r="AC2" s="2" t="s">
        <v>143</v>
      </c>
      <c r="AD2" s="2" t="s">
        <v>144</v>
      </c>
      <c r="AE2" s="2" t="s">
        <v>145</v>
      </c>
      <c r="AF2" s="2" t="s">
        <v>146</v>
      </c>
      <c r="AG2" s="2" t="s">
        <v>147</v>
      </c>
      <c r="AH2" s="2" t="s">
        <v>148</v>
      </c>
      <c r="AI2" s="2" t="s">
        <v>149</v>
      </c>
      <c r="AJ2" s="2" t="s">
        <v>150</v>
      </c>
    </row>
    <row r="3" spans="1:36" x14ac:dyDescent="0.25">
      <c r="A3" s="1" t="s">
        <v>151</v>
      </c>
      <c r="B3" s="1">
        <v>4445</v>
      </c>
      <c r="C3" s="1">
        <v>4445</v>
      </c>
      <c r="D3" s="1">
        <v>1</v>
      </c>
      <c r="E3" s="1">
        <v>0</v>
      </c>
      <c r="F3" s="1">
        <v>4439</v>
      </c>
      <c r="G3" s="1" t="s">
        <v>152</v>
      </c>
      <c r="H3" s="1">
        <v>352374</v>
      </c>
      <c r="I3" s="1">
        <v>4426</v>
      </c>
      <c r="J3" s="1">
        <v>351766</v>
      </c>
      <c r="K3" s="1">
        <v>351695</v>
      </c>
      <c r="L3" s="1">
        <v>0</v>
      </c>
      <c r="M3" s="1" t="s">
        <v>153</v>
      </c>
      <c r="N3" s="1" t="s">
        <v>154</v>
      </c>
      <c r="O3" s="1" t="s">
        <v>155</v>
      </c>
      <c r="P3" s="10">
        <v>80153206</v>
      </c>
      <c r="Q3" s="10">
        <v>4597544</v>
      </c>
      <c r="R3" s="1">
        <v>81</v>
      </c>
      <c r="S3" s="1">
        <v>0</v>
      </c>
      <c r="T3" s="1">
        <v>16</v>
      </c>
      <c r="U3" s="1">
        <v>81</v>
      </c>
      <c r="V3" s="10">
        <v>7927874</v>
      </c>
      <c r="W3" s="1">
        <v>4432</v>
      </c>
      <c r="X3" s="1" t="s">
        <v>156</v>
      </c>
      <c r="Y3" s="9">
        <v>18</v>
      </c>
      <c r="Z3" s="1" t="s">
        <v>157</v>
      </c>
      <c r="AA3" s="1">
        <v>0</v>
      </c>
      <c r="AB3" s="1" t="s">
        <v>158</v>
      </c>
      <c r="AC3" s="1">
        <v>0</v>
      </c>
      <c r="AD3" s="1">
        <v>0</v>
      </c>
      <c r="AE3" s="1" t="s">
        <v>159</v>
      </c>
      <c r="AF3" s="1">
        <v>0</v>
      </c>
      <c r="AG3" s="10">
        <v>18836735</v>
      </c>
      <c r="AH3" s="1"/>
      <c r="AI3" s="1"/>
      <c r="AJ3" s="1"/>
    </row>
    <row r="4" spans="1:36" x14ac:dyDescent="0.25">
      <c r="A4" s="1" t="s">
        <v>160</v>
      </c>
      <c r="B4" s="1">
        <v>4445</v>
      </c>
      <c r="C4" s="1">
        <v>4445</v>
      </c>
      <c r="D4" s="1">
        <v>1</v>
      </c>
      <c r="E4" s="1">
        <v>0</v>
      </c>
      <c r="F4" s="1">
        <v>4435</v>
      </c>
      <c r="G4" s="1" t="s">
        <v>161</v>
      </c>
      <c r="H4" s="1">
        <v>346414</v>
      </c>
      <c r="I4" s="1">
        <v>4420</v>
      </c>
      <c r="J4" s="1">
        <v>345675</v>
      </c>
      <c r="K4" s="1">
        <v>345596</v>
      </c>
      <c r="L4" s="1">
        <v>0</v>
      </c>
      <c r="M4" s="1" t="s">
        <v>162</v>
      </c>
      <c r="N4" s="1" t="s">
        <v>163</v>
      </c>
      <c r="O4" s="1" t="s">
        <v>164</v>
      </c>
      <c r="P4" s="10">
        <v>78826997</v>
      </c>
      <c r="Q4" s="10">
        <v>8379124</v>
      </c>
      <c r="R4" s="1">
        <v>81</v>
      </c>
      <c r="S4" s="1">
        <v>0</v>
      </c>
      <c r="T4" s="1">
        <v>16</v>
      </c>
      <c r="U4" s="1">
        <v>81</v>
      </c>
      <c r="V4" s="10">
        <v>77937233</v>
      </c>
      <c r="W4" s="1">
        <v>4432</v>
      </c>
      <c r="X4" s="1" t="s">
        <v>165</v>
      </c>
      <c r="Y4" s="9">
        <v>14</v>
      </c>
      <c r="Z4" s="1" t="s">
        <v>166</v>
      </c>
      <c r="AA4" s="1">
        <v>0</v>
      </c>
      <c r="AB4" s="1" t="s">
        <v>167</v>
      </c>
      <c r="AC4" s="1">
        <v>0</v>
      </c>
      <c r="AD4" s="1">
        <v>0</v>
      </c>
      <c r="AE4" s="1" t="s">
        <v>168</v>
      </c>
      <c r="AF4" s="1">
        <v>0</v>
      </c>
      <c r="AG4" s="10">
        <v>18692308</v>
      </c>
      <c r="AH4" s="1"/>
      <c r="AI4" s="1"/>
      <c r="AJ4" s="1"/>
    </row>
    <row r="5" spans="1:36" x14ac:dyDescent="0.25">
      <c r="A5" s="1" t="s">
        <v>169</v>
      </c>
      <c r="B5" s="1">
        <v>8890</v>
      </c>
      <c r="C5" s="1">
        <v>8890</v>
      </c>
      <c r="D5" s="1">
        <v>1</v>
      </c>
      <c r="E5" s="1">
        <v>0</v>
      </c>
      <c r="F5" s="1">
        <v>8874</v>
      </c>
      <c r="G5" s="1" t="s">
        <v>170</v>
      </c>
      <c r="H5" s="1">
        <v>698788</v>
      </c>
      <c r="I5" s="1">
        <v>8846</v>
      </c>
      <c r="J5" s="1">
        <v>697441</v>
      </c>
      <c r="K5" s="1">
        <v>697291</v>
      </c>
      <c r="L5" s="1">
        <v>0</v>
      </c>
      <c r="M5" s="1" t="s">
        <v>171</v>
      </c>
      <c r="N5" s="1" t="s">
        <v>172</v>
      </c>
      <c r="O5" s="1" t="s">
        <v>173</v>
      </c>
      <c r="P5" s="10">
        <v>79490101</v>
      </c>
      <c r="Q5" s="10">
        <v>6790301</v>
      </c>
      <c r="R5" s="1">
        <v>81</v>
      </c>
      <c r="S5" s="1">
        <v>0</v>
      </c>
      <c r="T5" s="1">
        <v>16</v>
      </c>
      <c r="U5" s="1">
        <v>81</v>
      </c>
      <c r="V5" s="10">
        <v>78607987</v>
      </c>
      <c r="W5" s="1">
        <v>8864</v>
      </c>
      <c r="X5" s="1" t="s">
        <v>174</v>
      </c>
      <c r="Y5" s="9">
        <v>32</v>
      </c>
      <c r="Z5" s="1" t="s">
        <v>175</v>
      </c>
      <c r="AA5" s="1">
        <v>0</v>
      </c>
      <c r="AB5" s="1" t="s">
        <v>176</v>
      </c>
      <c r="AC5" s="1">
        <v>0</v>
      </c>
      <c r="AD5" s="1">
        <v>0</v>
      </c>
      <c r="AE5" s="1" t="s">
        <v>177</v>
      </c>
      <c r="AF5" s="1">
        <v>0</v>
      </c>
      <c r="AG5" s="10">
        <v>18764706</v>
      </c>
      <c r="AH5" s="1"/>
      <c r="AI5" s="1"/>
      <c r="AJ5" s="1" t="s">
        <v>101</v>
      </c>
    </row>
    <row r="7" spans="1:36" x14ac:dyDescent="0.25">
      <c r="A7" t="s">
        <v>178</v>
      </c>
      <c r="B7" t="s">
        <v>179</v>
      </c>
    </row>
    <row r="8" spans="1:36" x14ac:dyDescent="0.25">
      <c r="A8" s="2" t="s">
        <v>180</v>
      </c>
      <c r="B8" s="2" t="s">
        <v>181</v>
      </c>
      <c r="C8" s="2" t="s">
        <v>182</v>
      </c>
    </row>
    <row r="9" spans="1:36" x14ac:dyDescent="0.25">
      <c r="A9" s="1">
        <v>0</v>
      </c>
      <c r="B9" s="1">
        <v>0</v>
      </c>
      <c r="C9" s="1">
        <v>16</v>
      </c>
    </row>
    <row r="10" spans="1:36" x14ac:dyDescent="0.25">
      <c r="A10" s="1">
        <v>16</v>
      </c>
      <c r="B10" s="1">
        <v>3</v>
      </c>
      <c r="C10" s="1">
        <v>0</v>
      </c>
    </row>
    <row r="11" spans="1:36" x14ac:dyDescent="0.25">
      <c r="A11" s="1">
        <v>17</v>
      </c>
      <c r="B11" s="1">
        <v>4</v>
      </c>
      <c r="C11" s="1">
        <v>0</v>
      </c>
    </row>
    <row r="12" spans="1:36" x14ac:dyDescent="0.25">
      <c r="A12" s="1">
        <v>18</v>
      </c>
      <c r="B12" s="1">
        <v>1</v>
      </c>
      <c r="C12" s="1">
        <v>0</v>
      </c>
    </row>
    <row r="13" spans="1:36" x14ac:dyDescent="0.25">
      <c r="A13" s="1">
        <v>19</v>
      </c>
      <c r="B13" s="1">
        <v>3</v>
      </c>
      <c r="C13" s="1">
        <v>5</v>
      </c>
    </row>
    <row r="14" spans="1:36" x14ac:dyDescent="0.25">
      <c r="A14" s="1">
        <v>20</v>
      </c>
      <c r="B14" s="1">
        <v>3</v>
      </c>
      <c r="C14" s="1">
        <v>3</v>
      </c>
    </row>
    <row r="15" spans="1:36" x14ac:dyDescent="0.25">
      <c r="A15" s="1">
        <v>21</v>
      </c>
      <c r="B15" s="1">
        <v>4</v>
      </c>
      <c r="C15" s="1">
        <v>4</v>
      </c>
    </row>
    <row r="16" spans="1:36" x14ac:dyDescent="0.25">
      <c r="A16" s="1">
        <v>22</v>
      </c>
      <c r="B16" s="1">
        <v>2</v>
      </c>
      <c r="C16" s="1">
        <v>1</v>
      </c>
    </row>
    <row r="17" spans="1:3" x14ac:dyDescent="0.25">
      <c r="A17" s="1">
        <v>23</v>
      </c>
      <c r="B17" s="1">
        <v>0</v>
      </c>
      <c r="C17" s="1">
        <v>1</v>
      </c>
    </row>
    <row r="18" spans="1:3" x14ac:dyDescent="0.25">
      <c r="A18" s="1">
        <v>24</v>
      </c>
      <c r="B18" s="1">
        <v>5</v>
      </c>
      <c r="C18" s="1">
        <v>3</v>
      </c>
    </row>
    <row r="19" spans="1:3" x14ac:dyDescent="0.25">
      <c r="A19" s="1">
        <v>25</v>
      </c>
      <c r="B19" s="1">
        <v>7</v>
      </c>
      <c r="C19" s="1">
        <v>6</v>
      </c>
    </row>
    <row r="20" spans="1:3" x14ac:dyDescent="0.25">
      <c r="A20" s="1">
        <v>26</v>
      </c>
      <c r="B20" s="1">
        <v>1</v>
      </c>
      <c r="C20" s="1">
        <v>3</v>
      </c>
    </row>
    <row r="21" spans="1:3" x14ac:dyDescent="0.25">
      <c r="A21" s="1">
        <v>27</v>
      </c>
      <c r="B21" s="1">
        <v>4</v>
      </c>
      <c r="C21" s="1">
        <v>4</v>
      </c>
    </row>
    <row r="22" spans="1:3" x14ac:dyDescent="0.25">
      <c r="A22" s="1">
        <v>28</v>
      </c>
      <c r="B22" s="1">
        <v>8</v>
      </c>
      <c r="C22" s="1">
        <v>10</v>
      </c>
    </row>
    <row r="23" spans="1:3" x14ac:dyDescent="0.25">
      <c r="A23" s="1">
        <v>29</v>
      </c>
      <c r="B23" s="1">
        <v>11</v>
      </c>
      <c r="C23" s="1">
        <v>12</v>
      </c>
    </row>
    <row r="24" spans="1:3" x14ac:dyDescent="0.25">
      <c r="A24" s="1">
        <v>30</v>
      </c>
      <c r="B24" s="1">
        <v>7</v>
      </c>
      <c r="C24" s="1">
        <v>6</v>
      </c>
    </row>
    <row r="25" spans="1:3" x14ac:dyDescent="0.25">
      <c r="A25" s="1">
        <v>31</v>
      </c>
      <c r="B25" s="1">
        <v>3</v>
      </c>
      <c r="C25" s="1">
        <v>3</v>
      </c>
    </row>
    <row r="26" spans="1:3" x14ac:dyDescent="0.25">
      <c r="A26" s="1">
        <v>32</v>
      </c>
      <c r="B26" s="1">
        <v>1</v>
      </c>
      <c r="C26" s="1">
        <v>1</v>
      </c>
    </row>
    <row r="27" spans="1:3" x14ac:dyDescent="0.25">
      <c r="A27" s="1">
        <v>33</v>
      </c>
      <c r="B27" s="1">
        <v>3</v>
      </c>
      <c r="C27" s="1">
        <v>5</v>
      </c>
    </row>
    <row r="28" spans="1:3" x14ac:dyDescent="0.25">
      <c r="A28" s="1">
        <v>34</v>
      </c>
      <c r="B28" s="1">
        <v>4</v>
      </c>
      <c r="C28" s="1">
        <v>4</v>
      </c>
    </row>
    <row r="29" spans="1:3" x14ac:dyDescent="0.25">
      <c r="A29" s="1">
        <v>35</v>
      </c>
      <c r="B29" s="1">
        <v>4</v>
      </c>
      <c r="C29" s="1">
        <v>12</v>
      </c>
    </row>
    <row r="30" spans="1:3" x14ac:dyDescent="0.25">
      <c r="A30" s="1">
        <v>36</v>
      </c>
      <c r="B30" s="1">
        <v>11</v>
      </c>
      <c r="C30" s="1">
        <v>12</v>
      </c>
    </row>
    <row r="31" spans="1:3" x14ac:dyDescent="0.25">
      <c r="A31" s="1">
        <v>37</v>
      </c>
      <c r="B31" s="1">
        <v>2</v>
      </c>
      <c r="C31" s="1">
        <v>2</v>
      </c>
    </row>
    <row r="32" spans="1:3" x14ac:dyDescent="0.25">
      <c r="A32" s="1">
        <v>38</v>
      </c>
      <c r="B32" s="1">
        <v>11</v>
      </c>
      <c r="C32" s="1">
        <v>13</v>
      </c>
    </row>
    <row r="33" spans="1:3" x14ac:dyDescent="0.25">
      <c r="A33" s="1">
        <v>39</v>
      </c>
      <c r="B33" s="1">
        <v>5</v>
      </c>
      <c r="C33" s="1">
        <v>13</v>
      </c>
    </row>
    <row r="34" spans="1:3" x14ac:dyDescent="0.25">
      <c r="A34" s="1">
        <v>40</v>
      </c>
      <c r="B34" s="1">
        <v>7</v>
      </c>
      <c r="C34" s="1">
        <v>9</v>
      </c>
    </row>
    <row r="35" spans="1:3" x14ac:dyDescent="0.25">
      <c r="A35" s="1">
        <v>41</v>
      </c>
      <c r="B35" s="1">
        <v>5</v>
      </c>
      <c r="C35" s="1">
        <v>13</v>
      </c>
    </row>
    <row r="36" spans="1:3" x14ac:dyDescent="0.25">
      <c r="A36" s="1">
        <v>42</v>
      </c>
      <c r="B36" s="1">
        <v>0</v>
      </c>
      <c r="C36" s="1">
        <v>5</v>
      </c>
    </row>
    <row r="37" spans="1:3" x14ac:dyDescent="0.25">
      <c r="A37" s="1">
        <v>43</v>
      </c>
      <c r="B37" s="1">
        <v>10</v>
      </c>
      <c r="C37" s="1">
        <v>11</v>
      </c>
    </row>
    <row r="38" spans="1:3" x14ac:dyDescent="0.25">
      <c r="A38" s="1">
        <v>44</v>
      </c>
      <c r="B38" s="1">
        <v>7</v>
      </c>
      <c r="C38" s="1">
        <v>9</v>
      </c>
    </row>
    <row r="39" spans="1:3" x14ac:dyDescent="0.25">
      <c r="A39" s="1">
        <v>45</v>
      </c>
      <c r="B39" s="1">
        <v>0</v>
      </c>
      <c r="C39" s="1">
        <v>3</v>
      </c>
    </row>
    <row r="40" spans="1:3" x14ac:dyDescent="0.25">
      <c r="A40" s="1">
        <v>46</v>
      </c>
      <c r="B40" s="1">
        <v>4</v>
      </c>
      <c r="C40" s="1">
        <v>9</v>
      </c>
    </row>
    <row r="41" spans="1:3" x14ac:dyDescent="0.25">
      <c r="A41" s="1">
        <v>47</v>
      </c>
      <c r="B41" s="1">
        <v>1</v>
      </c>
      <c r="C41" s="1">
        <v>13</v>
      </c>
    </row>
    <row r="42" spans="1:3" x14ac:dyDescent="0.25">
      <c r="A42" s="1">
        <v>48</v>
      </c>
      <c r="B42" s="1">
        <v>6</v>
      </c>
      <c r="C42" s="1">
        <v>7</v>
      </c>
    </row>
    <row r="43" spans="1:3" x14ac:dyDescent="0.25">
      <c r="A43" s="1">
        <v>49</v>
      </c>
      <c r="B43" s="1">
        <v>7</v>
      </c>
      <c r="C43" s="1">
        <v>9</v>
      </c>
    </row>
    <row r="44" spans="1:3" x14ac:dyDescent="0.25">
      <c r="A44" s="1">
        <v>50</v>
      </c>
      <c r="B44" s="1">
        <v>5</v>
      </c>
      <c r="C44" s="1">
        <v>5</v>
      </c>
    </row>
    <row r="45" spans="1:3" x14ac:dyDescent="0.25">
      <c r="A45" s="1">
        <v>51</v>
      </c>
      <c r="B45" s="1">
        <v>3</v>
      </c>
      <c r="C45" s="1">
        <v>7</v>
      </c>
    </row>
    <row r="46" spans="1:3" x14ac:dyDescent="0.25">
      <c r="A46" s="1">
        <v>52</v>
      </c>
      <c r="B46" s="1">
        <v>3</v>
      </c>
      <c r="C46" s="1">
        <v>10</v>
      </c>
    </row>
    <row r="47" spans="1:3" x14ac:dyDescent="0.25">
      <c r="A47" s="1">
        <v>53</v>
      </c>
      <c r="B47" s="1">
        <v>9</v>
      </c>
      <c r="C47" s="1">
        <v>19</v>
      </c>
    </row>
    <row r="48" spans="1:3" x14ac:dyDescent="0.25">
      <c r="A48" s="1">
        <v>54</v>
      </c>
      <c r="B48" s="1">
        <v>7</v>
      </c>
      <c r="C48" s="1">
        <v>23</v>
      </c>
    </row>
    <row r="49" spans="1:3" x14ac:dyDescent="0.25">
      <c r="A49" s="1">
        <v>55</v>
      </c>
      <c r="B49" s="1">
        <v>3</v>
      </c>
      <c r="C49" s="1">
        <v>11</v>
      </c>
    </row>
    <row r="50" spans="1:3" x14ac:dyDescent="0.25">
      <c r="A50" s="1">
        <v>56</v>
      </c>
      <c r="B50" s="1">
        <v>5</v>
      </c>
      <c r="C50" s="1">
        <v>14</v>
      </c>
    </row>
    <row r="51" spans="1:3" x14ac:dyDescent="0.25">
      <c r="A51" s="1">
        <v>57</v>
      </c>
      <c r="B51" s="1">
        <v>6</v>
      </c>
      <c r="C51" s="1">
        <v>11</v>
      </c>
    </row>
    <row r="52" spans="1:3" x14ac:dyDescent="0.25">
      <c r="A52" s="1">
        <v>58</v>
      </c>
      <c r="B52" s="1">
        <v>8</v>
      </c>
      <c r="C52" s="1">
        <v>15</v>
      </c>
    </row>
    <row r="53" spans="1:3" x14ac:dyDescent="0.25">
      <c r="A53" s="1">
        <v>59</v>
      </c>
      <c r="B53" s="1">
        <v>4</v>
      </c>
      <c r="C53" s="1">
        <v>12</v>
      </c>
    </row>
    <row r="54" spans="1:3" x14ac:dyDescent="0.25">
      <c r="A54" s="1">
        <v>60</v>
      </c>
      <c r="B54" s="1">
        <v>8</v>
      </c>
      <c r="C54" s="1">
        <v>20</v>
      </c>
    </row>
    <row r="55" spans="1:3" x14ac:dyDescent="0.25">
      <c r="A55" s="1">
        <v>61</v>
      </c>
      <c r="B55" s="1">
        <v>8</v>
      </c>
      <c r="C55" s="1">
        <v>16</v>
      </c>
    </row>
    <row r="56" spans="1:3" x14ac:dyDescent="0.25">
      <c r="A56" s="1">
        <v>62</v>
      </c>
      <c r="B56" s="1">
        <v>5</v>
      </c>
      <c r="C56" s="1">
        <v>13</v>
      </c>
    </row>
    <row r="57" spans="1:3" x14ac:dyDescent="0.25">
      <c r="A57" s="1">
        <v>63</v>
      </c>
      <c r="B57" s="1">
        <v>5</v>
      </c>
      <c r="C57" s="1">
        <v>20</v>
      </c>
    </row>
    <row r="58" spans="1:3" x14ac:dyDescent="0.25">
      <c r="A58" s="1">
        <v>64</v>
      </c>
      <c r="B58" s="1">
        <v>6</v>
      </c>
      <c r="C58" s="1">
        <v>14</v>
      </c>
    </row>
    <row r="59" spans="1:3" x14ac:dyDescent="0.25">
      <c r="A59" s="1">
        <v>65</v>
      </c>
      <c r="B59" s="1">
        <v>12</v>
      </c>
      <c r="C59" s="1">
        <v>20</v>
      </c>
    </row>
    <row r="60" spans="1:3" x14ac:dyDescent="0.25">
      <c r="A60" s="1">
        <v>66</v>
      </c>
      <c r="B60" s="1">
        <v>10</v>
      </c>
      <c r="C60" s="1">
        <v>26</v>
      </c>
    </row>
    <row r="61" spans="1:3" x14ac:dyDescent="0.25">
      <c r="A61" s="1">
        <v>67</v>
      </c>
      <c r="B61" s="1">
        <v>15</v>
      </c>
      <c r="C61" s="1">
        <v>26</v>
      </c>
    </row>
    <row r="62" spans="1:3" x14ac:dyDescent="0.25">
      <c r="A62" s="1">
        <v>68</v>
      </c>
      <c r="B62" s="1">
        <v>16</v>
      </c>
      <c r="C62" s="1">
        <v>31</v>
      </c>
    </row>
    <row r="63" spans="1:3" x14ac:dyDescent="0.25">
      <c r="A63" s="1">
        <v>69</v>
      </c>
      <c r="B63" s="1">
        <v>11</v>
      </c>
      <c r="C63" s="1">
        <v>23</v>
      </c>
    </row>
    <row r="64" spans="1:3" x14ac:dyDescent="0.25">
      <c r="A64" s="1">
        <v>70</v>
      </c>
      <c r="B64" s="1">
        <v>15</v>
      </c>
      <c r="C64" s="1">
        <v>29</v>
      </c>
    </row>
    <row r="65" spans="1:3" x14ac:dyDescent="0.25">
      <c r="A65" s="1">
        <v>71</v>
      </c>
      <c r="B65" s="1">
        <v>16</v>
      </c>
      <c r="C65" s="1">
        <v>32</v>
      </c>
    </row>
    <row r="66" spans="1:3" x14ac:dyDescent="0.25">
      <c r="A66" s="1">
        <v>72</v>
      </c>
      <c r="B66" s="1">
        <v>18</v>
      </c>
      <c r="C66" s="1">
        <v>29</v>
      </c>
    </row>
    <row r="67" spans="1:3" x14ac:dyDescent="0.25">
      <c r="A67" s="1">
        <v>73</v>
      </c>
      <c r="B67" s="1">
        <v>33</v>
      </c>
      <c r="C67" s="1">
        <v>42</v>
      </c>
    </row>
    <row r="68" spans="1:3" x14ac:dyDescent="0.25">
      <c r="A68" s="1">
        <v>74</v>
      </c>
      <c r="B68" s="1">
        <v>19</v>
      </c>
      <c r="C68" s="1">
        <v>27</v>
      </c>
    </row>
    <row r="69" spans="1:3" x14ac:dyDescent="0.25">
      <c r="A69" s="1">
        <v>75</v>
      </c>
      <c r="B69" s="1">
        <v>44</v>
      </c>
      <c r="C69" s="1">
        <v>57</v>
      </c>
    </row>
    <row r="70" spans="1:3" x14ac:dyDescent="0.25">
      <c r="A70" s="1">
        <v>76</v>
      </c>
      <c r="B70" s="1">
        <v>69</v>
      </c>
      <c r="C70" s="1">
        <v>83</v>
      </c>
    </row>
    <row r="71" spans="1:3" x14ac:dyDescent="0.25">
      <c r="A71" s="1">
        <v>77</v>
      </c>
      <c r="B71" s="1">
        <v>85</v>
      </c>
      <c r="C71" s="1">
        <v>100</v>
      </c>
    </row>
    <row r="72" spans="1:3" x14ac:dyDescent="0.25">
      <c r="A72" s="1">
        <v>78</v>
      </c>
      <c r="B72" s="1">
        <v>152</v>
      </c>
      <c r="C72" s="1">
        <v>152</v>
      </c>
    </row>
    <row r="73" spans="1:3" x14ac:dyDescent="0.25">
      <c r="A73" s="1">
        <v>79</v>
      </c>
      <c r="B73" s="1">
        <v>209</v>
      </c>
      <c r="C73" s="1">
        <v>206</v>
      </c>
    </row>
    <row r="74" spans="1:3" x14ac:dyDescent="0.25">
      <c r="A74" s="1">
        <v>80</v>
      </c>
      <c r="B74" s="1">
        <v>572</v>
      </c>
      <c r="C74" s="1">
        <v>535</v>
      </c>
    </row>
    <row r="75" spans="1:3" x14ac:dyDescent="0.25">
      <c r="A75" s="1">
        <v>81</v>
      </c>
      <c r="B75" s="1">
        <v>7355</v>
      </c>
      <c r="C75" s="1">
        <v>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sample_case3_filtered_annotated</vt:lpstr>
      <vt:lpstr>Alignment_Sum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Fahreza Ananta</dc:creator>
  <cp:lastModifiedBy>Joana Nikita</cp:lastModifiedBy>
  <dcterms:created xsi:type="dcterms:W3CDTF">2026-04-10T15:40:32Z</dcterms:created>
  <dcterms:modified xsi:type="dcterms:W3CDTF">2026-04-11T16:47:14Z</dcterms:modified>
</cp:coreProperties>
</file>